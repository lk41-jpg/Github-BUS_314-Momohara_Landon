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 Statement" sheetId="1" state="visible" r:id="rId3"/>
    <sheet name="Balance Sheet" sheetId="2" state="visible" r:id="rId4"/>
    <sheet name="Cash Flow Statement" sheetId="3" state="visible" r:id="rId5"/>
    <sheet name="Ratios" sheetId="4" state="visible" r:id="rId6"/>
    <sheet name="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<sst xmlns="http://schemas.openxmlformats.org/spreadsheetml/2006/main" count="592" uniqueCount="424">
  <si>
    <t xml:space="preserve">APPLE INC. — INCOME STATEMENT  ($ in millions)</t>
  </si>
  <si>
    <t xml:space="preserve">Line Item</t>
  </si>
  <si>
    <t xml:space="preserve">FY 2024</t>
  </si>
  <si>
    <t xml:space="preserve">FY 2023</t>
  </si>
  <si>
    <t xml:space="preserve">Source / Note</t>
  </si>
  <si>
    <t xml:space="preserve">NET SALES / REVENUE</t>
  </si>
  <si>
    <t xml:space="preserve">  Products</t>
  </si>
  <si>
    <t xml:space="preserve">Source: Apple 10-K FY2024, p.31</t>
  </si>
  <si>
    <t xml:space="preserve">  Services</t>
  </si>
  <si>
    <t xml:space="preserve">Total Net Sales</t>
  </si>
  <si>
    <t xml:space="preserve"> =sum of above</t>
  </si>
  <si>
    <t xml:space="preserve">COST OF SALES</t>
  </si>
  <si>
    <t xml:space="preserve">Total Cost of Sales</t>
  </si>
  <si>
    <t xml:space="preserve">Gross Margin</t>
  </si>
  <si>
    <t xml:space="preserve"> =total revenue - total cogs</t>
  </si>
  <si>
    <t xml:space="preserve">OPERATING EXPENSES</t>
  </si>
  <si>
    <t xml:space="preserve">  R&amp;D</t>
  </si>
  <si>
    <t xml:space="preserve">  SG&amp;A</t>
  </si>
  <si>
    <t xml:space="preserve">Total Operating Expenses</t>
  </si>
  <si>
    <t xml:space="preserve">Operating Income (EBIT)</t>
  </si>
  <si>
    <t xml:space="preserve"> =gross margin - opex</t>
  </si>
  <si>
    <t xml:space="preserve">OTHER INCOME / (EXPENSE)</t>
  </si>
  <si>
    <t xml:space="preserve">  Interest &amp; Dividend Income</t>
  </si>
  <si>
    <t xml:space="preserve">  Interest Expense</t>
  </si>
  <si>
    <t xml:space="preserve">  Other Income/(Expense), net</t>
  </si>
  <si>
    <t xml:space="preserve">Total Other Income/(Expense)</t>
  </si>
  <si>
    <t xml:space="preserve">Income Before Taxes (EBT)</t>
  </si>
  <si>
    <t xml:space="preserve"> =ebit + other income</t>
  </si>
  <si>
    <t xml:space="preserve">Provision for Income Taxes</t>
  </si>
  <si>
    <t xml:space="preserve">NET INCOME</t>
  </si>
  <si>
    <t xml:space="preserve"> =ebt - taxes</t>
  </si>
  <si>
    <t xml:space="preserve">Memo: EBITDA</t>
  </si>
  <si>
    <t xml:space="preserve"> =ebit + d&amp;a (d&amp;a from cfs)</t>
  </si>
  <si>
    <t xml:space="preserve">Memo: Depreciation &amp; Amortization</t>
  </si>
  <si>
    <t xml:space="preserve">Source: Apple 10-K FY2024, CFS</t>
  </si>
  <si>
    <t xml:space="preserve">Memo: Effective Tax Rate</t>
  </si>
  <si>
    <t xml:space="preserve"> =taxes / ebt</t>
  </si>
  <si>
    <t xml:space="preserve">Memo: Shares Outstanding (mm)</t>
  </si>
  <si>
    <t xml:space="preserve">Source: Apple 10-K FY2024 (diluted)</t>
  </si>
  <si>
    <t xml:space="preserve">Memo: EPS (Diluted)</t>
  </si>
  <si>
    <t xml:space="preserve"> =net income / shares</t>
  </si>
  <si>
    <t xml:space="preserve">COLOR LEGEND</t>
  </si>
  <si>
    <t xml:space="preserve">Yellow  → Hardcoded Input (blue text)</t>
  </si>
  <si>
    <t xml:space="preserve">Green   → Formula / Calculated</t>
  </si>
  <si>
    <t xml:space="preserve">Gray    → Label / Section Header</t>
  </si>
  <si>
    <t xml:space="preserve">Blue    → Assumption</t>
  </si>
  <si>
    <t xml:space="preserve">APPLE INC. — BALANCE SHEET  ($ in millions)</t>
  </si>
  <si>
    <t xml:space="preserve">FY 2024
(Sep 28, 2024)</t>
  </si>
  <si>
    <t xml:space="preserve">FY 2023
(Sep 30, 2023)</t>
  </si>
  <si>
    <t xml:space="preserve">CURRENT ASSETS</t>
  </si>
  <si>
    <t xml:space="preserve">  Cash &amp; Cash Equivalents</t>
  </si>
  <si>
    <t xml:space="preserve">Source: Apple 10-K FY2024, p.48</t>
  </si>
  <si>
    <t xml:space="preserve">  Marketable Securities (current)</t>
  </si>
  <si>
    <t xml:space="preserve">  Accounts Receivable, net</t>
  </si>
  <si>
    <t xml:space="preserve">  Inventories</t>
  </si>
  <si>
    <t xml:space="preserve">  Other Current Assets</t>
  </si>
  <si>
    <t xml:space="preserve">Total Current Assets</t>
  </si>
  <si>
    <t xml:space="preserve"> =sum above</t>
  </si>
  <si>
    <t xml:space="preserve">NON-CURRENT ASSETS</t>
  </si>
  <si>
    <t xml:space="preserve">  Marketable Securities (non-current)</t>
  </si>
  <si>
    <t xml:space="preserve">  Property, Plant &amp; Equipment, net</t>
  </si>
  <si>
    <t xml:space="preserve">  Other Non-Current Assets</t>
  </si>
  <si>
    <t xml:space="preserve">Total Non-Current Assets</t>
  </si>
  <si>
    <t xml:space="preserve">TOTAL ASSETS</t>
  </si>
  <si>
    <t xml:space="preserve"> =current + non-current assets</t>
  </si>
  <si>
    <t xml:space="preserve">CURRENT LIABILITIES</t>
  </si>
  <si>
    <t xml:space="preserve">  Accounts Payable</t>
  </si>
  <si>
    <t xml:space="preserve">  Other Current Liabilities</t>
  </si>
  <si>
    <t xml:space="preserve">  Term Debt (current)</t>
  </si>
  <si>
    <t xml:space="preserve">Total Current Liabilities</t>
  </si>
  <si>
    <t xml:space="preserve">NON-CURRENT LIABILITIES</t>
  </si>
  <si>
    <t xml:space="preserve">  Term Debt (non-current)</t>
  </si>
  <si>
    <t xml:space="preserve">  Other Non-Current Liabilities</t>
  </si>
  <si>
    <t xml:space="preserve">Total Non-Current Liabilities</t>
  </si>
  <si>
    <t xml:space="preserve">TOTAL LIABILITIES</t>
  </si>
  <si>
    <t xml:space="preserve"> =current + non-current liabilities</t>
  </si>
  <si>
    <t xml:space="preserve">SHAREHOLDERS' EQUITY</t>
  </si>
  <si>
    <t xml:space="preserve">  Common Stock &amp; Additional Paid-in Capital</t>
  </si>
  <si>
    <t xml:space="preserve">  Retained Earnings (Deficit)</t>
  </si>
  <si>
    <t xml:space="preserve">  Accumulated Other Comprehensive Income/(Loss)</t>
  </si>
  <si>
    <t xml:space="preserve">Total Shareholders' Equity</t>
  </si>
  <si>
    <t xml:space="preserve">TOTAL LIABILITIES &amp; EQUITY</t>
  </si>
  <si>
    <t xml:space="preserve"> =total liabilities + total equity</t>
  </si>
  <si>
    <t xml:space="preserve">APPLE INC. — CASH FLOW STATEMENT  ($ in millions)</t>
  </si>
  <si>
    <t xml:space="preserve">OPERATING ACTIVITIES</t>
  </si>
  <si>
    <t xml:space="preserve">  Net Income</t>
  </si>
  <si>
    <t xml:space="preserve"> =link from is</t>
  </si>
  <si>
    <t xml:space="preserve">  Depreciation &amp; Amortization</t>
  </si>
  <si>
    <t xml:space="preserve">Source: Apple 10-K FY2024, p.51</t>
  </si>
  <si>
    <t xml:space="preserve">  Share-Based Compensation</t>
  </si>
  <si>
    <t xml:space="preserve">  Changes in Working Capital &amp; Other</t>
  </si>
  <si>
    <t xml:space="preserve">Net Cash from Operating Activities</t>
  </si>
  <si>
    <t xml:space="preserve">INVESTING ACTIVITIES</t>
  </si>
  <si>
    <t xml:space="preserve">  Capital Expenditures (CapEx)</t>
  </si>
  <si>
    <t xml:space="preserve">  Purchases of Marketable Securities</t>
  </si>
  <si>
    <t xml:space="preserve">  Proceeds from Maturities of Securities</t>
  </si>
  <si>
    <t xml:space="preserve">  Other Investing Activities</t>
  </si>
  <si>
    <t xml:space="preserve">Net Cash from Investing Activities</t>
  </si>
  <si>
    <t xml:space="preserve">FINANCING ACTIVITIES</t>
  </si>
  <si>
    <t xml:space="preserve">  Repurchase of Common Stock</t>
  </si>
  <si>
    <t xml:space="preserve">  Dividends Paid</t>
  </si>
  <si>
    <t xml:space="preserve">  Proceeds from Debt Issuance</t>
  </si>
  <si>
    <t xml:space="preserve">  Repayment of Debt</t>
  </si>
  <si>
    <t xml:space="preserve">  Other Financing Activities</t>
  </si>
  <si>
    <t xml:space="preserve">Net Cash from Financing Activities</t>
  </si>
  <si>
    <t xml:space="preserve">NET CHANGE IN CASH</t>
  </si>
  <si>
    <t xml:space="preserve"> =sum of all net cash flows</t>
  </si>
  <si>
    <t xml:space="preserve">Beginning Cash Balance</t>
  </si>
  <si>
    <t xml:space="preserve">Ending Cash Balance</t>
  </si>
  <si>
    <t xml:space="preserve"> =beginning + net change</t>
  </si>
  <si>
    <t xml:space="preserve">Memo: Free Cash Flow (FCF)</t>
  </si>
  <si>
    <t xml:space="preserve"> =operating cf - capex</t>
  </si>
  <si>
    <t xml:space="preserve">Memo: FCF Yield</t>
  </si>
  <si>
    <t xml:space="preserve">See Ratios Tab</t>
  </si>
  <si>
    <t xml:space="preserve"> =fcf / market cap (from ratios tab)</t>
  </si>
  <si>
    <t xml:space="preserve">APPLE INC. — ACCOUNTING RATIO ANALYSIS  (FY 2024)</t>
  </si>
  <si>
    <t xml:space="preserve">SECTION A — INPUTS</t>
  </si>
  <si>
    <t xml:space="preserve">Named Range</t>
  </si>
  <si>
    <t xml:space="preserve">Value</t>
  </si>
  <si>
    <t xml:space="preserve">Units</t>
  </si>
  <si>
    <t xml:space="preserve">Description</t>
  </si>
  <si>
    <t xml:space="preserve">Source Cell</t>
  </si>
  <si>
    <t xml:space="preserve">── MARKET / ANALYST INPUTS ──</t>
  </si>
  <si>
    <t xml:space="preserve">mkt_share_price</t>
  </si>
  <si>
    <t xml:space="preserve">$</t>
  </si>
  <si>
    <t xml:space="preserve">Share price as of Sep 27 2024 close</t>
  </si>
  <si>
    <t xml:space="preserve">Source: Yahoo Finance, Sep 27 2024</t>
  </si>
  <si>
    <t xml:space="preserve">mkt_shares_out</t>
  </si>
  <si>
    <t xml:space="preserve">mm</t>
  </si>
  <si>
    <t xml:space="preserve">Diluted shares outstanding</t>
  </si>
  <si>
    <t xml:space="preserve">IS!B36</t>
  </si>
  <si>
    <t xml:space="preserve">mkt_cap</t>
  </si>
  <si>
    <t xml:space="preserve">$mm</t>
  </si>
  <si>
    <t xml:space="preserve"> =share_price × shares_out</t>
  </si>
  <si>
    <t xml:space="preserve">cost_of_capital</t>
  </si>
  <si>
    <t xml:space="preserve">%</t>
  </si>
  <si>
    <t xml:space="preserve">WACC estimate (analyst assumption)</t>
  </si>
  <si>
    <t xml:space="preserve">Source: Damodaran WACC dataset</t>
  </si>
  <si>
    <t xml:space="preserve">tax_rate</t>
  </si>
  <si>
    <t xml:space="preserve"> =effective tax rate from is</t>
  </si>
  <si>
    <t xml:space="preserve">── START-OF-YEAR (FY2023) ──</t>
  </si>
  <si>
    <t xml:space="preserve">startYear_equity</t>
  </si>
  <si>
    <t xml:space="preserve">FY2023 Total Equity</t>
  </si>
  <si>
    <t xml:space="preserve">BS!C36</t>
  </si>
  <si>
    <t xml:space="preserve">startYear_inventories</t>
  </si>
  <si>
    <t xml:space="preserve">FY2023 Inventories</t>
  </si>
  <si>
    <t xml:space="preserve">BS!C7</t>
  </si>
  <si>
    <t xml:space="preserve">startYear_receivables</t>
  </si>
  <si>
    <t xml:space="preserve">FY2023 Accounts Receivable</t>
  </si>
  <si>
    <t xml:space="preserve">BS!C6</t>
  </si>
  <si>
    <t xml:space="preserve">startYear_assets_total</t>
  </si>
  <si>
    <t xml:space="preserve">FY2023 Total Assets</t>
  </si>
  <si>
    <t xml:space="preserve">BS!C17</t>
  </si>
  <si>
    <t xml:space="preserve">startYear_total_cap</t>
  </si>
  <si>
    <t xml:space="preserve">FY2023 LT Debt + Equity</t>
  </si>
  <si>
    <t xml:space="preserve">BS computation</t>
  </si>
  <si>
    <t xml:space="preserve">── CURRENT YEAR (FY2024) ──</t>
  </si>
  <si>
    <t xml:space="preserve">INC_net</t>
  </si>
  <si>
    <t xml:space="preserve">Net Income</t>
  </si>
  <si>
    <t xml:space="preserve">IS!B31</t>
  </si>
  <si>
    <t xml:space="preserve">INC_ebit</t>
  </si>
  <si>
    <t xml:space="preserve">EBIT</t>
  </si>
  <si>
    <t xml:space="preserve">IS!B20</t>
  </si>
  <si>
    <t xml:space="preserve">INC_ebitda</t>
  </si>
  <si>
    <t xml:space="preserve">EBITDA</t>
  </si>
  <si>
    <t xml:space="preserve">IS!B33</t>
  </si>
  <si>
    <t xml:space="preserve">INC_revenue</t>
  </si>
  <si>
    <t xml:space="preserve">IS!B6</t>
  </si>
  <si>
    <t xml:space="preserve">INC_gross_margin</t>
  </si>
  <si>
    <t xml:space="preserve">Gross Profit</t>
  </si>
  <si>
    <t xml:space="preserve">IS!B13</t>
  </si>
  <si>
    <t xml:space="preserve">INC_interest_exp</t>
  </si>
  <si>
    <t xml:space="preserve">Interest Expense (abs)</t>
  </si>
  <si>
    <t xml:space="preserve">IS!B24</t>
  </si>
  <si>
    <t xml:space="preserve">INC_taxes</t>
  </si>
  <si>
    <t xml:space="preserve">Income Tax Provision</t>
  </si>
  <si>
    <t xml:space="preserve">IS!B29</t>
  </si>
  <si>
    <t xml:space="preserve">currentYear_equity</t>
  </si>
  <si>
    <t xml:space="preserve">FY2024 Total Equity</t>
  </si>
  <si>
    <t xml:space="preserve">BS!B36</t>
  </si>
  <si>
    <t xml:space="preserve">currentYear_cash</t>
  </si>
  <si>
    <t xml:space="preserve">FY2024 Cash</t>
  </si>
  <si>
    <t xml:space="preserve">BS!B4</t>
  </si>
  <si>
    <t xml:space="preserve">currentYear_assets_CA</t>
  </si>
  <si>
    <t xml:space="preserve">FY2024 Current Assets</t>
  </si>
  <si>
    <t xml:space="preserve">BS!B9</t>
  </si>
  <si>
    <t xml:space="preserve">currentYear_liab_CL</t>
  </si>
  <si>
    <t xml:space="preserve">FY2024 Current Liabilities</t>
  </si>
  <si>
    <t xml:space="preserve">BS!B23</t>
  </si>
  <si>
    <t xml:space="preserve">currentYear_LT_debt</t>
  </si>
  <si>
    <t xml:space="preserve">FY2024 LT Debt (non-current)</t>
  </si>
  <si>
    <t xml:space="preserve">BS!B26</t>
  </si>
  <si>
    <t xml:space="preserve">currentYear_assets_total</t>
  </si>
  <si>
    <t xml:space="preserve">FY2024 Total Assets</t>
  </si>
  <si>
    <t xml:space="preserve">BS!B17</t>
  </si>
  <si>
    <t xml:space="preserve">currentYear_total_cap</t>
  </si>
  <si>
    <t xml:space="preserve">FY2024 LT Debt + Equity</t>
  </si>
  <si>
    <t xml:space="preserve">currentYear_total_liab</t>
  </si>
  <si>
    <t xml:space="preserve">FY2024 Total Liabilities</t>
  </si>
  <si>
    <t xml:space="preserve">BS!B30</t>
  </si>
  <si>
    <t xml:space="preserve">currentYear_NWC</t>
  </si>
  <si>
    <t xml:space="preserve"> =ca - cl</t>
  </si>
  <si>
    <t xml:space="preserve">currentYear_inventories</t>
  </si>
  <si>
    <t xml:space="preserve">FY2024 Inventories</t>
  </si>
  <si>
    <t xml:space="preserve">BS!B7</t>
  </si>
  <si>
    <t xml:space="preserve">currentYear_receivables</t>
  </si>
  <si>
    <t xml:space="preserve">FY2024 Accounts Receivable</t>
  </si>
  <si>
    <t xml:space="preserve">BS!B6</t>
  </si>
  <si>
    <t xml:space="preserve">INC_daily_sales</t>
  </si>
  <si>
    <t xml:space="preserve"> =revenue / 365</t>
  </si>
  <si>
    <t xml:space="preserve">ATOI</t>
  </si>
  <si>
    <t xml:space="preserve">After-Tax Operating Income = EBIT×(1−tax_rate)</t>
  </si>
  <si>
    <t xml:space="preserve">── AVERAGES ──</t>
  </si>
  <si>
    <t xml:space="preserve">avg_equity</t>
  </si>
  <si>
    <t xml:space="preserve"> =(startyear + currentyear equity)/2</t>
  </si>
  <si>
    <t xml:space="preserve">avg_assets_total</t>
  </si>
  <si>
    <t xml:space="preserve"> =(startyear + currentyear assets)/2</t>
  </si>
  <si>
    <t xml:space="preserve">avg_total_cap</t>
  </si>
  <si>
    <t xml:space="preserve"> =(startyear + currentyear total cap)/2</t>
  </si>
  <si>
    <t xml:space="preserve">SECTION B — RATIO CALCULATIONS</t>
  </si>
  <si>
    <t xml:space="preserve">Ratio</t>
  </si>
  <si>
    <t xml:space="preserve">Formula (named range notation)</t>
  </si>
  <si>
    <t xml:space="preserve">Interpretation</t>
  </si>
  <si>
    <t xml:space="preserve">1. PERFORMANCE RATIOS</t>
  </si>
  <si>
    <t xml:space="preserve">Market Value Added (MVA)</t>
  </si>
  <si>
    <t xml:space="preserve">mkt_cap - currentYear_equity</t>
  </si>
  <si>
    <t xml:space="preserve">Value created above book equity; positive = shareholder value</t>
  </si>
  <si>
    <t xml:space="preserve">Market-to-Book Ratio</t>
  </si>
  <si>
    <t xml:space="preserve">x</t>
  </si>
  <si>
    <t xml:space="preserve">mkt_cap / currentYear_equity</t>
  </si>
  <si>
    <t xml:space="preserve">Premium investors pay over book value</t>
  </si>
  <si>
    <t xml:space="preserve">Economic Value Added (EVA)</t>
  </si>
  <si>
    <t xml:space="preserve">ATOI - (cost_of_capital × currentYear_total_cap)</t>
  </si>
  <si>
    <t xml:space="preserve">Economic profit after cost of capital charge; positive = value creation</t>
  </si>
  <si>
    <t xml:space="preserve">2. PROFITABILITY RATIOS</t>
  </si>
  <si>
    <t xml:space="preserve">ROA (Start-of-Year)</t>
  </si>
  <si>
    <t xml:space="preserve">INC_net / startYear_assets_total</t>
  </si>
  <si>
    <t xml:space="preserve">Return on prior-year asset base</t>
  </si>
  <si>
    <t xml:space="preserve">ROC (Start-of-Year)</t>
  </si>
  <si>
    <t xml:space="preserve">INC_net / startYear_total_cap</t>
  </si>
  <si>
    <t xml:space="preserve">Return on prior-year invested capital</t>
  </si>
  <si>
    <t xml:space="preserve">ROE (Start-of-Year)</t>
  </si>
  <si>
    <t xml:space="preserve">INC_net / startYear_equity</t>
  </si>
  <si>
    <t xml:space="preserve">Return on prior-year equity</t>
  </si>
  <si>
    <t xml:space="preserve">ROA (Average)</t>
  </si>
  <si>
    <t xml:space="preserve">INC_net / avg_assets_total</t>
  </si>
  <si>
    <t xml:space="preserve">Return on average asset base (smoothed)</t>
  </si>
  <si>
    <t xml:space="preserve">ROC (Average)</t>
  </si>
  <si>
    <t xml:space="preserve">INC_net / avg_total_cap</t>
  </si>
  <si>
    <t xml:space="preserve">Return on average invested capital</t>
  </si>
  <si>
    <t xml:space="preserve">ROE (Average)</t>
  </si>
  <si>
    <t xml:space="preserve">INC_net / avg_equity</t>
  </si>
  <si>
    <t xml:space="preserve">Return on average equity</t>
  </si>
  <si>
    <t xml:space="preserve">3. EFFICIENCY RATIOS</t>
  </si>
  <si>
    <t xml:space="preserve">Asset Turnover</t>
  </si>
  <si>
    <t xml:space="preserve">INC_revenue / startYear_assets_total</t>
  </si>
  <si>
    <t xml:space="preserve">Revenue generated per dollar of assets</t>
  </si>
  <si>
    <t xml:space="preserve">Receivables Turnover</t>
  </si>
  <si>
    <t xml:space="preserve">INC_revenue / startYear_receivables</t>
  </si>
  <si>
    <t xml:space="preserve">How quickly AR is collected</t>
  </si>
  <si>
    <t xml:space="preserve">Avg Collection Period (Days)</t>
  </si>
  <si>
    <t xml:space="preserve">days</t>
  </si>
  <si>
    <t xml:space="preserve">365 × startYear_receivables / INC_revenue</t>
  </si>
  <si>
    <t xml:space="preserve">Days to collect receivables</t>
  </si>
  <si>
    <t xml:space="preserve">Inventory Turnover</t>
  </si>
  <si>
    <t xml:space="preserve">INC_revenue / startYear_inventories</t>
  </si>
  <si>
    <t xml:space="preserve">Times inventory sold per year</t>
  </si>
  <si>
    <t xml:space="preserve">Days in Inventory</t>
  </si>
  <si>
    <t xml:space="preserve">365 × startYear_inventories / INC_revenue</t>
  </si>
  <si>
    <t xml:space="preserve">Days of inventory on hand</t>
  </si>
  <si>
    <t xml:space="preserve">Profit Margin (Net)</t>
  </si>
  <si>
    <t xml:space="preserve">INC_net / INC_revenue</t>
  </si>
  <si>
    <t xml:space="preserve">Net income as % of revenue</t>
  </si>
  <si>
    <t xml:space="preserve">Operating Profit Margin</t>
  </si>
  <si>
    <t xml:space="preserve">INC_ebit / INC_revenue</t>
  </si>
  <si>
    <t xml:space="preserve">Operating income as % of revenue</t>
  </si>
  <si>
    <t xml:space="preserve">INC_gross_margin / INC_revenue</t>
  </si>
  <si>
    <t xml:space="preserve">Gross profit as % of revenue</t>
  </si>
  <si>
    <t xml:space="preserve">4. LEVERAGE RATIOS</t>
  </si>
  <si>
    <t xml:space="preserve">Long-Term Debt Ratio</t>
  </si>
  <si>
    <t xml:space="preserve">currentYear_LT_debt / (currentYear_LT_debt + currentYear_equity)</t>
  </si>
  <si>
    <t xml:space="preserve">LT debt as share of total long-term capital</t>
  </si>
  <si>
    <t xml:space="preserve">Debt-Equity Ratio</t>
  </si>
  <si>
    <t xml:space="preserve">currentYear_LT_debt / currentYear_equity</t>
  </si>
  <si>
    <t xml:space="preserve">Financial leverage; &gt;1 = more debt than equity</t>
  </si>
  <si>
    <t xml:space="preserve">Total Debt Ratio</t>
  </si>
  <si>
    <t xml:space="preserve">currentYear_total_liab / currentYear_assets_total</t>
  </si>
  <si>
    <t xml:space="preserve">Fraction of assets financed by creditors</t>
  </si>
  <si>
    <t xml:space="preserve">Times Interest Earned (TIE)</t>
  </si>
  <si>
    <t xml:space="preserve">INC_ebit / INC_interest_exp</t>
  </si>
  <si>
    <t xml:space="preserve">EBIT coverage of interest; higher = safer</t>
  </si>
  <si>
    <t xml:space="preserve">Cash Coverage</t>
  </si>
  <si>
    <t xml:space="preserve">INC_ebitda / INC_interest_exp</t>
  </si>
  <si>
    <t xml:space="preserve">EBITDA coverage; includes D&amp;A add-back</t>
  </si>
  <si>
    <t xml:space="preserve">Debt Burden</t>
  </si>
  <si>
    <t xml:space="preserve">INC_net / INC_ebit (adjusted)</t>
  </si>
  <si>
    <t xml:space="preserve">Net income retained after debt and tax burden</t>
  </si>
  <si>
    <t xml:space="preserve">Leverage Ratio (Assets/Equity)</t>
  </si>
  <si>
    <t xml:space="preserve">currentYear_assets_total / currentYear_equity</t>
  </si>
  <si>
    <t xml:space="preserve">Asset multiplier used in Du Pont decomposition</t>
  </si>
  <si>
    <t xml:space="preserve">5. LIQUIDITY RATIOS</t>
  </si>
  <si>
    <t xml:space="preserve">NWC-to-Assets</t>
  </si>
  <si>
    <t xml:space="preserve">currentYear_NWC / currentYear_assets_total</t>
  </si>
  <si>
    <t xml:space="preserve">Working capital cushion relative to total assets</t>
  </si>
  <si>
    <t xml:space="preserve">Current Ratio</t>
  </si>
  <si>
    <t xml:space="preserve">currentYear_assets_CA / currentYear_liab_CL</t>
  </si>
  <si>
    <t xml:space="preserve">&gt;1 = can cover current obligations; &lt;1 = negative NWC</t>
  </si>
  <si>
    <t xml:space="preserve">Quick Ratio</t>
  </si>
  <si>
    <t xml:space="preserve">(currentYear_assets_CA - currentYear_inventories) / currentYear_liab_CL</t>
  </si>
  <si>
    <t xml:space="preserve">Liquidity excluding less-liquid inventory</t>
  </si>
  <si>
    <t xml:space="preserve">Cash Ratio</t>
  </si>
  <si>
    <t xml:space="preserve">currentYear_cash / currentYear_liab_CL</t>
  </si>
  <si>
    <t xml:space="preserve">Most conservative liquidity measure</t>
  </si>
  <si>
    <t xml:space="preserve">6. DU PONT DECOMPOSITION</t>
  </si>
  <si>
    <t xml:space="preserve">Du Pont: Profit Margin</t>
  </si>
  <si>
    <t xml:space="preserve">Step 1: margin component</t>
  </si>
  <si>
    <t xml:space="preserve">Du Pont: Asset Turnover</t>
  </si>
  <si>
    <t xml:space="preserve">Step 2: efficiency component</t>
  </si>
  <si>
    <t xml:space="preserve">Du Pont ROA = Margin × Turnover</t>
  </si>
  <si>
    <t xml:space="preserve">Profit_Margin × Asset_Turnover</t>
  </si>
  <si>
    <t xml:space="preserve">Should equal ROA (start-of-year) above ✓</t>
  </si>
  <si>
    <t xml:space="preserve">Du Pont: Leverage (Assets/Equity)</t>
  </si>
  <si>
    <t xml:space="preserve">Step 3: leverage component</t>
  </si>
  <si>
    <t xml:space="preserve">Du Pont ROE = ROA × Leverage</t>
  </si>
  <si>
    <t xml:space="preserve">Du_Pont_ROA × Leverage</t>
  </si>
  <si>
    <t xml:space="preserve">Should approximate ROE (start-of-year) above ✓</t>
  </si>
  <si>
    <t xml:space="preserve">7. INTERNAL CONSISTENCY CHECKS</t>
  </si>
  <si>
    <t xml:space="preserve">ROA (Start-of-Year) — Direct</t>
  </si>
  <si>
    <t xml:space="preserve">Reference: Profitability section</t>
  </si>
  <si>
    <t xml:space="preserve">ROA — Du Pont Result</t>
  </si>
  <si>
    <t xml:space="preserve">Should match above row (±rounding)</t>
  </si>
  <si>
    <t xml:space="preserve">Difference (should be ~0)</t>
  </si>
  <si>
    <t xml:space="preserve">SECTION C — SUMMARY OUTPUT TABLE</t>
  </si>
  <si>
    <t xml:space="preserve">Category</t>
  </si>
  <si>
    <t xml:space="preserve">FY 2024 Value</t>
  </si>
  <si>
    <t xml:space="preserve">Named Range Formula</t>
  </si>
  <si>
    <t xml:space="preserve">Benchmark Note</t>
  </si>
  <si>
    <t xml:space="preserve">Performance</t>
  </si>
  <si>
    <t xml:space="preserve">Positive → value creation</t>
  </si>
  <si>
    <t xml:space="preserve">Market-to-Book</t>
  </si>
  <si>
    <t xml:space="preserve">High = growth premium</t>
  </si>
  <si>
    <t xml:space="preserve">EVA</t>
  </si>
  <si>
    <t xml:space="preserve">ATOI - (WACC × capital)</t>
  </si>
  <si>
    <t xml:space="preserve">Positive → economic profit</t>
  </si>
  <si>
    <t xml:space="preserve">Profitability</t>
  </si>
  <si>
    <t xml:space="preserve">Industry avg ~10%</t>
  </si>
  <si>
    <t xml:space="preserve">Industry avg ~15%</t>
  </si>
  <si>
    <t xml:space="preserve">Net Profit Margin</t>
  </si>
  <si>
    <t xml:space="preserve">S&amp;P 500 avg ~11%</t>
  </si>
  <si>
    <t xml:space="preserve">Efficiency</t>
  </si>
  <si>
    <t xml:space="preserve">INC_revenue / startYear_assets</t>
  </si>
  <si>
    <t xml:space="preserve">Higher = better</t>
  </si>
  <si>
    <t xml:space="preserve">Avg Collection Period</t>
  </si>
  <si>
    <t xml:space="preserve">365 × AR / Revenue</t>
  </si>
  <si>
    <t xml:space="preserve">Lower = faster collection</t>
  </si>
  <si>
    <t xml:space="preserve">365 × Inv / Revenue</t>
  </si>
  <si>
    <t xml:space="preserve">Lower = faster turnover</t>
  </si>
  <si>
    <t xml:space="preserve">Leverage</t>
  </si>
  <si>
    <t xml:space="preserve">LT_debt / equity</t>
  </si>
  <si>
    <t xml:space="preserve">&gt;1 = more debt than equity</t>
  </si>
  <si>
    <t xml:space="preserve">Times Interest Earned</t>
  </si>
  <si>
    <t xml:space="preserve">EBIT / interest_expense</t>
  </si>
  <si>
    <t xml:space="preserve">&gt;3x generally safe</t>
  </si>
  <si>
    <t xml:space="preserve">total_liab / total_assets</t>
  </si>
  <si>
    <t xml:space="preserve">Lower = less leveraged</t>
  </si>
  <si>
    <t xml:space="preserve">Liquidity</t>
  </si>
  <si>
    <t xml:space="preserve">CA / CL</t>
  </si>
  <si>
    <t xml:space="preserve">&gt;1 preferred</t>
  </si>
  <si>
    <t xml:space="preserve">(CA-Inv) / CL</t>
  </si>
  <si>
    <t xml:space="preserve">&gt;0.5 generally acceptable</t>
  </si>
  <si>
    <t xml:space="preserve">Du Pont</t>
  </si>
  <si>
    <t xml:space="preserve">Du Pont ROA</t>
  </si>
  <si>
    <t xml:space="preserve">Margin × Turnover</t>
  </si>
  <si>
    <t xml:space="preserve">Cross-check vs direct ROA</t>
  </si>
  <si>
    <t xml:space="preserve">Du Pont ROE</t>
  </si>
  <si>
    <t xml:space="preserve">Du Pont ROA × Leverage</t>
  </si>
  <si>
    <t xml:space="preserve">Cross-check vs direct ROE</t>
  </si>
  <si>
    <t xml:space="preserve">NOTES, ASSUMPTIONS &amp; DATA SOURCES</t>
  </si>
  <si>
    <t xml:space="preserve">COMPANY</t>
  </si>
  <si>
    <t xml:space="preserve">Apple Inc. (NASDAQ: AAPL)</t>
  </si>
  <si>
    <t xml:space="preserve">FISCAL YEAR</t>
  </si>
  <si>
    <t xml:space="preserve">FY2024 ends September 28, 2024; FY2023 ends September 30, 2023</t>
  </si>
  <si>
    <t xml:space="preserve">CURRENCY</t>
  </si>
  <si>
    <t xml:space="preserve">All figures in USD millions ($mm) unless otherwise noted</t>
  </si>
  <si>
    <t xml:space="preserve">DATA SOURCES</t>
  </si>
  <si>
    <t xml:space="preserve">Primary</t>
  </si>
  <si>
    <t xml:space="preserve">Apple Inc. Form 10-K FY2024 filed with SEC EDGAR (CIK: 0000320193)</t>
  </si>
  <si>
    <t xml:space="preserve">URL</t>
  </si>
  <si>
    <t xml:space="preserve">https://investor.apple.com/sec-filings/annual-reports</t>
  </si>
  <si>
    <t xml:space="preserve">Cross-check</t>
  </si>
  <si>
    <t xml:space="preserve">Yahoo Finance (finance.yahoo.com) for share price and market data</t>
  </si>
  <si>
    <t xml:space="preserve">WACC</t>
  </si>
  <si>
    <t xml:space="preserve">Damodaran NYU dataset; tech sector WACC estimate of 9.0%</t>
  </si>
  <si>
    <t xml:space="preserve">KEY ASSUMPTIONS</t>
  </si>
  <si>
    <t xml:space="preserve">Share Price</t>
  </si>
  <si>
    <t xml:space="preserve">$152.37 — closing price Sep 27, 2024 (day before fiscal year-end)</t>
  </si>
  <si>
    <t xml:space="preserve">Shares</t>
  </si>
  <si>
    <t xml:space="preserve">Diluted weighted-average shares from 10-K used for EPS and market cap</t>
  </si>
  <si>
    <t xml:space="preserve">WACC / Cost of Capital</t>
  </si>
  <si>
    <t xml:space="preserve">9.0% (analyst assumption; sensitivity analysis recommended)</t>
  </si>
  <si>
    <t xml:space="preserve">Start-of-Year</t>
  </si>
  <si>
    <t xml:space="preserve">FY2023 Balance Sheet figures used as start-of-year for all ratios</t>
  </si>
  <si>
    <t xml:space="preserve">D&amp;A</t>
  </si>
  <si>
    <t xml:space="preserve">From Cash Flow Statement (indirect method operating section)</t>
  </si>
  <si>
    <t xml:space="preserve">Inventories</t>
  </si>
  <si>
    <t xml:space="preserve">Apple carries very lean inventory (~7 days) given fabless model</t>
  </si>
  <si>
    <t xml:space="preserve">Negative Equity</t>
  </si>
  <si>
    <t xml:space="preserve">Apple's equity is near zero / slightly negative due to massive buybacks; leverage ratios should be interpreted carefully in this context</t>
  </si>
  <si>
    <t xml:space="preserve">RATIO FORMULA NOTES</t>
  </si>
  <si>
    <t xml:space="preserve">After-Tax Operating Income = EBIT × (1 − Effective Tax Rate)</t>
  </si>
  <si>
    <t xml:space="preserve">EVA = ATOI − (WACC × Total Capitalization); positive = economic value creation</t>
  </si>
  <si>
    <t xml:space="preserve">MVA</t>
  </si>
  <si>
    <t xml:space="preserve">MVA = Market Cap − Book Equity; measures value created above book investment</t>
  </si>
  <si>
    <t xml:space="preserve">Profit Margin × Asset Turnover; should reconcile to direct ROA</t>
  </si>
  <si>
    <t xml:space="preserve">Du Pont ROA × (Assets/Equity); should reconcile to direct ROE</t>
  </si>
  <si>
    <t xml:space="preserve">Debt-Equity</t>
  </si>
  <si>
    <t xml:space="preserve">Apple's negative or near-zero equity makes this ratio extreme; supplement with Total Debt Ratio for context</t>
  </si>
  <si>
    <t xml:space="preserve">LIMITATIONS</t>
  </si>
  <si>
    <t xml:space="preserve">Single Year</t>
  </si>
  <si>
    <t xml:space="preserve">Analysis covers FY2024 and one prior year; multi-year trend recommended</t>
  </si>
  <si>
    <t xml:space="preserve">Peer Comparison</t>
  </si>
  <si>
    <t xml:space="preserve">No competitor benchmarking included; add Alphabet / Microsoft for context</t>
  </si>
  <si>
    <t xml:space="preserve">Segment Detail</t>
  </si>
  <si>
    <t xml:space="preserve">Ratios computed on consolidated basis; segment-level margins differ materially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</si>
</sst>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\$#,##0.00"/>
    <numFmt numFmtId="168" formatCode="#,##0.00"/>
    <numFmt numFmtId="169" formatCode="0.00"/>
    <numFmt numFmtId="170" formatCode="0.0\x"/>
    <numFmt numFmtId="171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9"/>
      <color rgb="FF444444"/>
      <name val="Arial"/>
      <family val="0"/>
      <charset val="1"/>
    </font>
    <font>
      <i val="true"/>
      <sz val="10"/>
      <color rgb="FF888888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D9D9"/>
        <bgColor rgb="FFDEEAF1"/>
      </patternFill>
    </fill>
    <fill>
      <patternFill patternType="solid">
        <fgColor rgb="FFE2EFDA"/>
        <bgColor rgb="FFDEEAF1"/>
      </patternFill>
    </fill>
    <fill>
      <patternFill patternType="solid">
        <fgColor rgb="FFFFFF00"/>
        <bgColor rgb="FFFFFF00"/>
      </patternFill>
    </fill>
    <fill>
      <patternFill patternType="solid">
        <fgColor rgb="FF555555"/>
        <bgColor rgb="FF444444"/>
      </patternFill>
    </fill>
    <fill>
      <patternFill patternType="solid">
        <fgColor rgb="FFBDD7EE"/>
        <bgColor rgb="FFD9D9D9"/>
      </patternFill>
    </fill>
    <fill>
      <patternFill patternType="solid">
        <fgColor rgb="FF2E75B6"/>
        <bgColor rgb="FF0066CC"/>
      </patternFill>
    </fill>
    <fill>
      <patternFill patternType="solid">
        <fgColor rgb="FF444444"/>
        <bgColor rgb="FF555555"/>
      </patternFill>
    </fill>
    <fill>
      <patternFill patternType="solid">
        <fgColor rgb="FFDEEAF1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88888"/>
      <rgbColor rgb="FF9999FF"/>
      <rgbColor rgb="FF993366"/>
      <rgbColor rgb="FFFFFF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757070"/>
      <rgbColor rgb="FFAAAAAA"/>
      <rgbColor rgb="FF003366"/>
      <rgbColor rgb="FF70AD47"/>
      <rgbColor rgb="FF003300"/>
      <rgbColor rgb="FF555555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6"/>
    <col collapsed="false" customWidth="true" hidden="false" outlineLevel="0" max="4" min="4" style="1" width="30"/>
  </cols>
  <sheetData>
    <row r="1" customFormat="false" ht="1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</row>
    <row r="3" customFormat="false" ht="15" hidden="false" customHeight="true" outlineLevel="0" collapsed="false">
      <c r="A3" s="4" t="s">
        <v>5</v>
      </c>
      <c r="D3" s="5"/>
    </row>
    <row r="4" customFormat="false" ht="15" hidden="false" customHeight="true" outlineLevel="0" collapsed="false">
      <c r="A4" s="6" t="s">
        <v>6</v>
      </c>
      <c r="B4" s="7" t="n">
        <v>294866</v>
      </c>
      <c r="C4" s="7" t="n">
        <v>298085</v>
      </c>
      <c r="D4" s="5" t="s">
        <v>7</v>
      </c>
    </row>
    <row r="5" customFormat="false" ht="15" hidden="false" customHeight="true" outlineLevel="0" collapsed="false">
      <c r="A5" s="6" t="s">
        <v>8</v>
      </c>
      <c r="B5" s="7" t="n">
        <v>96169</v>
      </c>
      <c r="C5" s="7" t="n">
        <v>85200</v>
      </c>
      <c r="D5" s="5" t="s">
        <v>7</v>
      </c>
    </row>
    <row r="6" customFormat="false" ht="15" hidden="false" customHeight="true" outlineLevel="0" collapsed="false">
      <c r="A6" s="4" t="s">
        <v>9</v>
      </c>
      <c r="B6" s="8" t="n">
        <f aca="false">B4+B5</f>
        <v>391035</v>
      </c>
      <c r="C6" s="8" t="n">
        <f aca="false">C4+C5</f>
        <v>383285</v>
      </c>
      <c r="D6" s="5" t="s">
        <v>10</v>
      </c>
    </row>
    <row r="7" customFormat="false" ht="15" hidden="false" customHeight="true" outlineLevel="0" collapsed="false">
      <c r="A7" s="9"/>
      <c r="D7" s="5"/>
    </row>
    <row r="8" customFormat="false" ht="15" hidden="false" customHeight="true" outlineLevel="0" collapsed="false">
      <c r="A8" s="4" t="s">
        <v>11</v>
      </c>
      <c r="D8" s="5"/>
    </row>
    <row r="9" customFormat="false" ht="15" hidden="false" customHeight="true" outlineLevel="0" collapsed="false">
      <c r="A9" s="6" t="s">
        <v>6</v>
      </c>
      <c r="B9" s="7" t="n">
        <v>210352</v>
      </c>
      <c r="C9" s="7" t="n">
        <v>210981</v>
      </c>
      <c r="D9" s="5" t="s">
        <v>7</v>
      </c>
    </row>
    <row r="10" customFormat="false" ht="15" hidden="false" customHeight="true" outlineLevel="0" collapsed="false">
      <c r="A10" s="6" t="s">
        <v>8</v>
      </c>
      <c r="B10" s="7" t="n">
        <v>24910</v>
      </c>
      <c r="C10" s="7" t="n">
        <v>24855</v>
      </c>
      <c r="D10" s="5" t="s">
        <v>7</v>
      </c>
    </row>
    <row r="11" customFormat="false" ht="15" hidden="false" customHeight="true" outlineLevel="0" collapsed="false">
      <c r="A11" s="4" t="s">
        <v>12</v>
      </c>
      <c r="B11" s="8" t="n">
        <f aca="false">B9+B10</f>
        <v>235262</v>
      </c>
      <c r="C11" s="8" t="n">
        <f aca="false">C9+C10</f>
        <v>235836</v>
      </c>
      <c r="D11" s="5" t="s">
        <v>10</v>
      </c>
    </row>
    <row r="12" customFormat="false" ht="15" hidden="false" customHeight="true" outlineLevel="0" collapsed="false">
      <c r="A12" s="9"/>
      <c r="D12" s="5"/>
    </row>
    <row r="13" customFormat="false" ht="15" hidden="false" customHeight="true" outlineLevel="0" collapsed="false">
      <c r="A13" s="4" t="s">
        <v>13</v>
      </c>
      <c r="B13" s="8" t="n">
        <f aca="false">B6-B11</f>
        <v>155773</v>
      </c>
      <c r="C13" s="8" t="n">
        <f aca="false">C6-C11</f>
        <v>147449</v>
      </c>
      <c r="D13" s="5" t="s">
        <v>14</v>
      </c>
    </row>
    <row r="14" customFormat="false" ht="15" hidden="false" customHeight="true" outlineLevel="0" collapsed="false">
      <c r="A14" s="9"/>
      <c r="D14" s="5"/>
    </row>
    <row r="15" customFormat="false" ht="15" hidden="false" customHeight="true" outlineLevel="0" collapsed="false">
      <c r="A15" s="4" t="s">
        <v>15</v>
      </c>
      <c r="D15" s="5"/>
    </row>
    <row r="16" customFormat="false" ht="15" hidden="false" customHeight="true" outlineLevel="0" collapsed="false">
      <c r="A16" s="6" t="s">
        <v>16</v>
      </c>
      <c r="B16" s="7" t="n">
        <v>31370</v>
      </c>
      <c r="C16" s="7" t="n">
        <v>29915</v>
      </c>
      <c r="D16" s="5" t="s">
        <v>7</v>
      </c>
    </row>
    <row r="17" customFormat="false" ht="15" hidden="false" customHeight="true" outlineLevel="0" collapsed="false">
      <c r="A17" s="6" t="s">
        <v>17</v>
      </c>
      <c r="B17" s="7" t="n">
        <v>26097</v>
      </c>
      <c r="C17" s="7" t="n">
        <v>24932</v>
      </c>
      <c r="D17" s="5" t="s">
        <v>7</v>
      </c>
    </row>
    <row r="18" customFormat="false" ht="15" hidden="false" customHeight="true" outlineLevel="0" collapsed="false">
      <c r="A18" s="4" t="s">
        <v>18</v>
      </c>
      <c r="B18" s="8" t="n">
        <f aca="false">B16+B17</f>
        <v>57467</v>
      </c>
      <c r="C18" s="8" t="n">
        <f aca="false">C16+C17</f>
        <v>54847</v>
      </c>
      <c r="D18" s="5" t="s">
        <v>10</v>
      </c>
    </row>
    <row r="19" customFormat="false" ht="15" hidden="false" customHeight="true" outlineLevel="0" collapsed="false">
      <c r="A19" s="9"/>
      <c r="D19" s="5"/>
    </row>
    <row r="20" customFormat="false" ht="15" hidden="false" customHeight="true" outlineLevel="0" collapsed="false">
      <c r="A20" s="4" t="s">
        <v>19</v>
      </c>
      <c r="B20" s="8" t="n">
        <f aca="false">B13-B18</f>
        <v>98306</v>
      </c>
      <c r="C20" s="8" t="n">
        <f aca="false">C13-C18</f>
        <v>92602</v>
      </c>
      <c r="D20" s="5" t="s">
        <v>20</v>
      </c>
    </row>
    <row r="21" customFormat="false" ht="15" hidden="false" customHeight="true" outlineLevel="0" collapsed="false">
      <c r="A21" s="9"/>
      <c r="D21" s="5"/>
    </row>
    <row r="22" customFormat="false" ht="15" hidden="false" customHeight="true" outlineLevel="0" collapsed="false">
      <c r="A22" s="4" t="s">
        <v>21</v>
      </c>
      <c r="D22" s="5"/>
    </row>
    <row r="23" customFormat="false" ht="15" hidden="false" customHeight="true" outlineLevel="0" collapsed="false">
      <c r="A23" s="6" t="s">
        <v>22</v>
      </c>
      <c r="B23" s="7" t="n">
        <v>3764</v>
      </c>
      <c r="C23" s="7" t="n">
        <v>3750</v>
      </c>
      <c r="D23" s="5" t="s">
        <v>7</v>
      </c>
    </row>
    <row r="24" customFormat="false" ht="15" hidden="false" customHeight="true" outlineLevel="0" collapsed="false">
      <c r="A24" s="6" t="s">
        <v>23</v>
      </c>
      <c r="B24" s="7" t="n">
        <v>-3930</v>
      </c>
      <c r="C24" s="7" t="n">
        <v>-3933</v>
      </c>
      <c r="D24" s="5" t="s">
        <v>7</v>
      </c>
    </row>
    <row r="25" customFormat="false" ht="15" hidden="false" customHeight="true" outlineLevel="0" collapsed="false">
      <c r="A25" s="6" t="s">
        <v>24</v>
      </c>
      <c r="B25" s="7" t="n">
        <v>269</v>
      </c>
      <c r="C25" s="7" t="n">
        <v>-565</v>
      </c>
      <c r="D25" s="5" t="s">
        <v>7</v>
      </c>
    </row>
    <row r="26" customFormat="false" ht="15" hidden="false" customHeight="true" outlineLevel="0" collapsed="false">
      <c r="A26" s="4" t="s">
        <v>25</v>
      </c>
      <c r="B26" s="8" t="n">
        <f aca="false">B23+B24+B25</f>
        <v>103</v>
      </c>
      <c r="C26" s="8" t="n">
        <f aca="false">C23+C24+C25</f>
        <v>-748</v>
      </c>
      <c r="D26" s="5" t="s">
        <v>10</v>
      </c>
    </row>
    <row r="27" customFormat="false" ht="15" hidden="false" customHeight="true" outlineLevel="0" collapsed="false">
      <c r="A27" s="9"/>
      <c r="D27" s="5"/>
    </row>
    <row r="28" customFormat="false" ht="15" hidden="false" customHeight="true" outlineLevel="0" collapsed="false">
      <c r="A28" s="4" t="s">
        <v>26</v>
      </c>
      <c r="B28" s="8" t="n">
        <f aca="false">B20+B26</f>
        <v>98409</v>
      </c>
      <c r="C28" s="8" t="n">
        <f aca="false">C20+C26</f>
        <v>91854</v>
      </c>
      <c r="D28" s="5" t="s">
        <v>27</v>
      </c>
    </row>
    <row r="29" customFormat="false" ht="15" hidden="false" customHeight="true" outlineLevel="0" collapsed="false">
      <c r="A29" s="6" t="s">
        <v>28</v>
      </c>
      <c r="B29" s="7" t="n">
        <v>29749</v>
      </c>
      <c r="C29" s="7" t="n">
        <v>29749</v>
      </c>
      <c r="D29" s="5" t="s">
        <v>7</v>
      </c>
    </row>
    <row r="30" customFormat="false" ht="15" hidden="false" customHeight="true" outlineLevel="0" collapsed="false">
      <c r="A30" s="9"/>
      <c r="D30" s="5"/>
    </row>
    <row r="31" customFormat="false" ht="15" hidden="false" customHeight="true" outlineLevel="0" collapsed="false">
      <c r="A31" s="4" t="s">
        <v>29</v>
      </c>
      <c r="B31" s="8" t="n">
        <f aca="false">B28-B29</f>
        <v>68660</v>
      </c>
      <c r="C31" s="8" t="n">
        <f aca="false">C28-C29</f>
        <v>62105</v>
      </c>
      <c r="D31" s="5" t="s">
        <v>30</v>
      </c>
    </row>
    <row r="32" customFormat="false" ht="15" hidden="false" customHeight="true" outlineLevel="0" collapsed="false">
      <c r="A32" s="9"/>
      <c r="D32" s="5"/>
    </row>
    <row r="33" customFormat="false" ht="15" hidden="false" customHeight="true" outlineLevel="0" collapsed="false">
      <c r="A33" s="4" t="s">
        <v>31</v>
      </c>
      <c r="B33" s="8" t="n">
        <f aca="false">B20+B34</f>
        <v>109751</v>
      </c>
      <c r="C33" s="8" t="n">
        <f aca="false">C20+C34</f>
        <v>104121</v>
      </c>
      <c r="D33" s="5" t="s">
        <v>32</v>
      </c>
    </row>
    <row r="34" customFormat="false" ht="15" hidden="false" customHeight="true" outlineLevel="0" collapsed="false">
      <c r="A34" s="6" t="s">
        <v>33</v>
      </c>
      <c r="B34" s="7" t="n">
        <v>11445</v>
      </c>
      <c r="C34" s="7" t="n">
        <v>11519</v>
      </c>
      <c r="D34" s="5" t="s">
        <v>34</v>
      </c>
    </row>
    <row r="35" customFormat="false" ht="15" hidden="false" customHeight="true" outlineLevel="0" collapsed="false">
      <c r="A35" s="4" t="s">
        <v>35</v>
      </c>
      <c r="B35" s="10" t="n">
        <f aca="false">B29/B28</f>
        <v>0.302299586419941</v>
      </c>
      <c r="C35" s="10" t="n">
        <f aca="false">C29/C28</f>
        <v>0.323872667494067</v>
      </c>
      <c r="D35" s="5" t="s">
        <v>36</v>
      </c>
    </row>
    <row r="36" customFormat="false" ht="15" hidden="false" customHeight="true" outlineLevel="0" collapsed="false">
      <c r="A36" s="6" t="s">
        <v>37</v>
      </c>
      <c r="B36" s="7" t="n">
        <v>15115</v>
      </c>
      <c r="C36" s="7" t="n">
        <v>15813</v>
      </c>
      <c r="D36" s="5" t="s">
        <v>38</v>
      </c>
    </row>
    <row r="37" customFormat="false" ht="15" hidden="false" customHeight="true" outlineLevel="0" collapsed="false">
      <c r="A37" s="4" t="s">
        <v>39</v>
      </c>
      <c r="B37" s="11" t="n">
        <f aca="false">B31/B36</f>
        <v>4.54250744293748</v>
      </c>
      <c r="C37" s="11" t="n">
        <f aca="false">C31/C36</f>
        <v>3.92746474419781</v>
      </c>
      <c r="D37" s="5" t="s">
        <v>40</v>
      </c>
    </row>
    <row r="40" customFormat="false" ht="15" hidden="false" customHeight="true" outlineLevel="0" collapsed="false">
      <c r="A40" s="12" t="s">
        <v>41</v>
      </c>
      <c r="B40" s="12"/>
      <c r="C40" s="12"/>
      <c r="D40" s="12"/>
    </row>
    <row r="41" customFormat="false" ht="15" hidden="false" customHeight="true" outlineLevel="0" collapsed="false">
      <c r="A41" s="13" t="s">
        <v>42</v>
      </c>
      <c r="B41" s="6"/>
      <c r="C41" s="6"/>
      <c r="D41" s="6"/>
    </row>
    <row r="42" customFormat="false" ht="15" hidden="false" customHeight="true" outlineLevel="0" collapsed="false">
      <c r="A42" s="14" t="s">
        <v>43</v>
      </c>
      <c r="B42" s="15"/>
      <c r="C42" s="15"/>
      <c r="D42" s="15"/>
    </row>
    <row r="43" customFormat="false" ht="15" hidden="false" customHeight="true" outlineLevel="0" collapsed="false">
      <c r="A43" s="16" t="s">
        <v>44</v>
      </c>
      <c r="B43" s="17"/>
      <c r="C43" s="17"/>
      <c r="D43" s="17"/>
    </row>
    <row r="44" customFormat="false" ht="15" hidden="false" customHeight="true" outlineLevel="0" collapsed="false">
      <c r="A44" s="18" t="s">
        <v>45</v>
      </c>
      <c r="B44" s="19"/>
      <c r="C44" s="19"/>
      <c r="D44" s="19"/>
    </row>
  </sheetData>
  <mergeCells count="2">
    <mergeCell ref="A1:D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6"/>
    <col collapsed="false" customWidth="true" hidden="false" outlineLevel="0" max="4" min="4" style="1" width="30"/>
  </cols>
  <sheetData>
    <row r="1" customFormat="false" ht="15" hidden="false" customHeight="true" outlineLevel="0" collapsed="false">
      <c r="A1" s="2" t="s">
        <v>46</v>
      </c>
      <c r="B1" s="2"/>
      <c r="C1" s="2"/>
      <c r="D1" s="2"/>
    </row>
    <row r="2" customFormat="false" ht="27.75" hidden="false" customHeight="true" outlineLevel="0" collapsed="false">
      <c r="A2" s="20" t="s">
        <v>1</v>
      </c>
      <c r="B2" s="20" t="s">
        <v>47</v>
      </c>
      <c r="C2" s="20" t="s">
        <v>48</v>
      </c>
      <c r="D2" s="20" t="s">
        <v>4</v>
      </c>
    </row>
    <row r="3" customFormat="false" ht="15" hidden="false" customHeight="true" outlineLevel="0" collapsed="false">
      <c r="A3" s="21" t="s">
        <v>49</v>
      </c>
      <c r="D3" s="5"/>
    </row>
    <row r="4" customFormat="false" ht="15" hidden="false" customHeight="true" outlineLevel="0" collapsed="false">
      <c r="A4" s="9" t="s">
        <v>50</v>
      </c>
      <c r="B4" s="7" t="n">
        <v>29943</v>
      </c>
      <c r="C4" s="7" t="n">
        <v>29965</v>
      </c>
      <c r="D4" s="5" t="s">
        <v>51</v>
      </c>
    </row>
    <row r="5" customFormat="false" ht="15" hidden="false" customHeight="true" outlineLevel="0" collapsed="false">
      <c r="A5" s="9" t="s">
        <v>52</v>
      </c>
      <c r="B5" s="7" t="n">
        <v>35228</v>
      </c>
      <c r="C5" s="7" t="n">
        <v>31590</v>
      </c>
      <c r="D5" s="5" t="s">
        <v>51</v>
      </c>
    </row>
    <row r="6" customFormat="false" ht="15" hidden="false" customHeight="true" outlineLevel="0" collapsed="false">
      <c r="A6" s="9" t="s">
        <v>53</v>
      </c>
      <c r="B6" s="7" t="n">
        <v>33410</v>
      </c>
      <c r="C6" s="7" t="n">
        <v>29508</v>
      </c>
      <c r="D6" s="5" t="s">
        <v>51</v>
      </c>
    </row>
    <row r="7" customFormat="false" ht="15" hidden="false" customHeight="true" outlineLevel="0" collapsed="false">
      <c r="A7" s="9" t="s">
        <v>54</v>
      </c>
      <c r="B7" s="7" t="n">
        <v>7286</v>
      </c>
      <c r="C7" s="7" t="n">
        <v>6331</v>
      </c>
      <c r="D7" s="5" t="s">
        <v>51</v>
      </c>
    </row>
    <row r="8" customFormat="false" ht="15" hidden="false" customHeight="true" outlineLevel="0" collapsed="false">
      <c r="A8" s="9" t="s">
        <v>55</v>
      </c>
      <c r="B8" s="7" t="n">
        <v>14695</v>
      </c>
      <c r="C8" s="7" t="n">
        <v>14695</v>
      </c>
      <c r="D8" s="5" t="s">
        <v>51</v>
      </c>
    </row>
    <row r="9" customFormat="false" ht="15" hidden="false" customHeight="true" outlineLevel="0" collapsed="false">
      <c r="A9" s="21" t="s">
        <v>56</v>
      </c>
      <c r="B9" s="8" t="n">
        <f aca="false">B4+B5+B6+B7+B8</f>
        <v>120562</v>
      </c>
      <c r="C9" s="8" t="n">
        <f aca="false">C4+C5+C6+C7+C8</f>
        <v>112089</v>
      </c>
      <c r="D9" s="5" t="s">
        <v>57</v>
      </c>
    </row>
    <row r="10" customFormat="false" ht="15" hidden="false" customHeight="true" outlineLevel="0" collapsed="false">
      <c r="A10" s="9"/>
      <c r="D10" s="5"/>
    </row>
    <row r="11" customFormat="false" ht="15" hidden="false" customHeight="true" outlineLevel="0" collapsed="false">
      <c r="A11" s="21" t="s">
        <v>58</v>
      </c>
      <c r="D11" s="5"/>
    </row>
    <row r="12" customFormat="false" ht="15" hidden="false" customHeight="true" outlineLevel="0" collapsed="false">
      <c r="A12" s="9" t="s">
        <v>59</v>
      </c>
      <c r="B12" s="7" t="n">
        <v>91479</v>
      </c>
      <c r="C12" s="7" t="n">
        <v>100544</v>
      </c>
      <c r="D12" s="5" t="s">
        <v>51</v>
      </c>
    </row>
    <row r="13" customFormat="false" ht="15" hidden="false" customHeight="true" outlineLevel="0" collapsed="false">
      <c r="A13" s="9" t="s">
        <v>60</v>
      </c>
      <c r="B13" s="7" t="n">
        <v>45680</v>
      </c>
      <c r="C13" s="7" t="n">
        <v>43715</v>
      </c>
      <c r="D13" s="5" t="s">
        <v>51</v>
      </c>
    </row>
    <row r="14" customFormat="false" ht="15" hidden="false" customHeight="true" outlineLevel="0" collapsed="false">
      <c r="A14" s="9" t="s">
        <v>61</v>
      </c>
      <c r="B14" s="7" t="n">
        <v>68011</v>
      </c>
      <c r="C14" s="7" t="n">
        <v>64758</v>
      </c>
      <c r="D14" s="5" t="s">
        <v>51</v>
      </c>
    </row>
    <row r="15" customFormat="false" ht="15" hidden="false" customHeight="true" outlineLevel="0" collapsed="false">
      <c r="A15" s="21" t="s">
        <v>62</v>
      </c>
      <c r="B15" s="8" t="n">
        <f aca="false">B12+B13+B14</f>
        <v>205170</v>
      </c>
      <c r="C15" s="8" t="n">
        <f aca="false">C12+C13+C14</f>
        <v>209017</v>
      </c>
      <c r="D15" s="5" t="s">
        <v>57</v>
      </c>
    </row>
    <row r="16" customFormat="false" ht="15" hidden="false" customHeight="true" outlineLevel="0" collapsed="false">
      <c r="A16" s="9"/>
      <c r="D16" s="5"/>
    </row>
    <row r="17" customFormat="false" ht="15" hidden="false" customHeight="true" outlineLevel="0" collapsed="false">
      <c r="A17" s="21" t="s">
        <v>63</v>
      </c>
      <c r="B17" s="8" t="n">
        <f aca="false">B9+B15</f>
        <v>325732</v>
      </c>
      <c r="C17" s="8" t="n">
        <f aca="false">C9+C15</f>
        <v>321106</v>
      </c>
      <c r="D17" s="5" t="s">
        <v>64</v>
      </c>
    </row>
    <row r="18" customFormat="false" ht="15" hidden="false" customHeight="true" outlineLevel="0" collapsed="false">
      <c r="A18" s="9"/>
      <c r="D18" s="5"/>
    </row>
    <row r="19" customFormat="false" ht="15" hidden="false" customHeight="true" outlineLevel="0" collapsed="false">
      <c r="A19" s="21" t="s">
        <v>65</v>
      </c>
      <c r="D19" s="5"/>
    </row>
    <row r="20" customFormat="false" ht="15" hidden="false" customHeight="true" outlineLevel="0" collapsed="false">
      <c r="A20" s="9" t="s">
        <v>66</v>
      </c>
      <c r="B20" s="7" t="n">
        <v>68960</v>
      </c>
      <c r="C20" s="7" t="n">
        <v>62611</v>
      </c>
      <c r="D20" s="5" t="s">
        <v>51</v>
      </c>
    </row>
    <row r="21" customFormat="false" ht="15" hidden="false" customHeight="true" outlineLevel="0" collapsed="false">
      <c r="A21" s="9" t="s">
        <v>67</v>
      </c>
      <c r="B21" s="7" t="n">
        <v>78304</v>
      </c>
      <c r="C21" s="7" t="n">
        <v>58563</v>
      </c>
      <c r="D21" s="5" t="s">
        <v>51</v>
      </c>
    </row>
    <row r="22" customFormat="false" ht="15" hidden="false" customHeight="true" outlineLevel="0" collapsed="false">
      <c r="A22" s="9" t="s">
        <v>68</v>
      </c>
      <c r="B22" s="7" t="n">
        <v>10912</v>
      </c>
      <c r="C22" s="7" t="n">
        <v>9822</v>
      </c>
      <c r="D22" s="5" t="s">
        <v>51</v>
      </c>
    </row>
    <row r="23" customFormat="false" ht="15" hidden="false" customHeight="true" outlineLevel="0" collapsed="false">
      <c r="A23" s="21" t="s">
        <v>69</v>
      </c>
      <c r="B23" s="8" t="n">
        <f aca="false">B20+B21+B22</f>
        <v>158176</v>
      </c>
      <c r="C23" s="8" t="n">
        <f aca="false">C20+C21+C22</f>
        <v>130996</v>
      </c>
      <c r="D23" s="5" t="s">
        <v>57</v>
      </c>
    </row>
    <row r="24" customFormat="false" ht="15" hidden="false" customHeight="true" outlineLevel="0" collapsed="false">
      <c r="A24" s="9"/>
      <c r="D24" s="5"/>
    </row>
    <row r="25" customFormat="false" ht="15" hidden="false" customHeight="true" outlineLevel="0" collapsed="false">
      <c r="A25" s="21" t="s">
        <v>70</v>
      </c>
      <c r="D25" s="5"/>
    </row>
    <row r="26" customFormat="false" ht="15" hidden="false" customHeight="true" outlineLevel="0" collapsed="false">
      <c r="A26" s="9" t="s">
        <v>71</v>
      </c>
      <c r="B26" s="7" t="n">
        <v>85750</v>
      </c>
      <c r="C26" s="7" t="n">
        <v>95281</v>
      </c>
      <c r="D26" s="5" t="s">
        <v>51</v>
      </c>
    </row>
    <row r="27" customFormat="false" ht="15" hidden="false" customHeight="true" outlineLevel="0" collapsed="false">
      <c r="A27" s="9" t="s">
        <v>72</v>
      </c>
      <c r="B27" s="7" t="n">
        <v>44614</v>
      </c>
      <c r="C27" s="7" t="n">
        <v>49848</v>
      </c>
      <c r="D27" s="5" t="s">
        <v>51</v>
      </c>
    </row>
    <row r="28" customFormat="false" ht="15" hidden="false" customHeight="true" outlineLevel="0" collapsed="false">
      <c r="A28" s="21" t="s">
        <v>73</v>
      </c>
      <c r="B28" s="8" t="n">
        <f aca="false">B26+B27</f>
        <v>130364</v>
      </c>
      <c r="C28" s="8" t="n">
        <f aca="false">C26+C27</f>
        <v>145129</v>
      </c>
      <c r="D28" s="5" t="s">
        <v>57</v>
      </c>
    </row>
    <row r="29" customFormat="false" ht="15" hidden="false" customHeight="true" outlineLevel="0" collapsed="false">
      <c r="A29" s="9"/>
      <c r="D29" s="5"/>
    </row>
    <row r="30" customFormat="false" ht="15" hidden="false" customHeight="true" outlineLevel="0" collapsed="false">
      <c r="A30" s="21" t="s">
        <v>74</v>
      </c>
      <c r="B30" s="8" t="n">
        <f aca="false">B23+B28</f>
        <v>288540</v>
      </c>
      <c r="C30" s="8" t="n">
        <f aca="false">C23+C28</f>
        <v>276125</v>
      </c>
      <c r="D30" s="5" t="s">
        <v>75</v>
      </c>
    </row>
    <row r="31" customFormat="false" ht="15" hidden="false" customHeight="true" outlineLevel="0" collapsed="false">
      <c r="A31" s="9"/>
      <c r="D31" s="5"/>
    </row>
    <row r="32" customFormat="false" ht="15" hidden="false" customHeight="true" outlineLevel="0" collapsed="false">
      <c r="A32" s="21" t="s">
        <v>76</v>
      </c>
      <c r="D32" s="5"/>
    </row>
    <row r="33" customFormat="false" ht="15" hidden="false" customHeight="true" outlineLevel="0" collapsed="false">
      <c r="A33" s="9" t="s">
        <v>77</v>
      </c>
      <c r="B33" s="7" t="n">
        <v>83276</v>
      </c>
      <c r="C33" s="7" t="n">
        <v>73812</v>
      </c>
      <c r="D33" s="5" t="s">
        <v>51</v>
      </c>
    </row>
    <row r="34" customFormat="false" ht="15" hidden="false" customHeight="true" outlineLevel="0" collapsed="false">
      <c r="A34" s="9" t="s">
        <v>78</v>
      </c>
      <c r="B34" s="7" t="n">
        <v>-19154</v>
      </c>
      <c r="C34" s="7" t="n">
        <v>-214</v>
      </c>
      <c r="D34" s="5" t="s">
        <v>51</v>
      </c>
    </row>
    <row r="35" customFormat="false" ht="15" hidden="false" customHeight="true" outlineLevel="0" collapsed="false">
      <c r="A35" s="9" t="s">
        <v>79</v>
      </c>
      <c r="B35" s="7" t="n">
        <v>-7134</v>
      </c>
      <c r="C35" s="7" t="n">
        <v>-11452</v>
      </c>
      <c r="D35" s="5" t="s">
        <v>51</v>
      </c>
    </row>
    <row r="36" customFormat="false" ht="15" hidden="false" customHeight="true" outlineLevel="0" collapsed="false">
      <c r="A36" s="21" t="s">
        <v>80</v>
      </c>
      <c r="B36" s="8" t="n">
        <f aca="false">B33+B34+B35</f>
        <v>56988</v>
      </c>
      <c r="C36" s="8" t="n">
        <f aca="false">C33+C34+C35</f>
        <v>62146</v>
      </c>
      <c r="D36" s="5" t="s">
        <v>57</v>
      </c>
    </row>
    <row r="37" customFormat="false" ht="15" hidden="false" customHeight="true" outlineLevel="0" collapsed="false">
      <c r="A37" s="9"/>
      <c r="D37" s="5"/>
    </row>
    <row r="38" customFormat="false" ht="15" hidden="false" customHeight="true" outlineLevel="0" collapsed="false">
      <c r="A38" s="21" t="s">
        <v>81</v>
      </c>
      <c r="B38" s="8" t="n">
        <f aca="false">B30+B36</f>
        <v>345528</v>
      </c>
      <c r="C38" s="8" t="n">
        <f aca="false">C30+C36</f>
        <v>338271</v>
      </c>
      <c r="D38" s="5" t="s">
        <v>82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6"/>
    <col collapsed="false" customWidth="true" hidden="false" outlineLevel="0" max="4" min="4" style="1" width="30"/>
  </cols>
  <sheetData>
    <row r="1" customFormat="false" ht="15" hidden="false" customHeight="true" outlineLevel="0" collapsed="false">
      <c r="A1" s="2" t="s">
        <v>83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</row>
    <row r="3" customFormat="false" ht="15" hidden="false" customHeight="true" outlineLevel="0" collapsed="false">
      <c r="A3" s="21" t="s">
        <v>84</v>
      </c>
      <c r="D3" s="5"/>
    </row>
    <row r="4" customFormat="false" ht="15" hidden="false" customHeight="true" outlineLevel="0" collapsed="false">
      <c r="A4" s="21" t="s">
        <v>85</v>
      </c>
      <c r="B4" s="22" t="n">
        <f aca="false">'Income Statement'!B31</f>
        <v>68660</v>
      </c>
      <c r="C4" s="22" t="n">
        <f aca="false">'Income Statement'!C31</f>
        <v>62105</v>
      </c>
      <c r="D4" s="5" t="s">
        <v>86</v>
      </c>
    </row>
    <row r="5" customFormat="false" ht="15" hidden="false" customHeight="true" outlineLevel="0" collapsed="false">
      <c r="A5" s="9" t="s">
        <v>87</v>
      </c>
      <c r="B5" s="7" t="n">
        <v>11445</v>
      </c>
      <c r="C5" s="7" t="n">
        <v>11519</v>
      </c>
      <c r="D5" s="5" t="s">
        <v>88</v>
      </c>
    </row>
    <row r="6" customFormat="false" ht="15" hidden="false" customHeight="true" outlineLevel="0" collapsed="false">
      <c r="A6" s="9" t="s">
        <v>89</v>
      </c>
      <c r="B6" s="7" t="n">
        <v>11688</v>
      </c>
      <c r="C6" s="7" t="n">
        <v>10833</v>
      </c>
      <c r="D6" s="5" t="s">
        <v>88</v>
      </c>
    </row>
    <row r="7" customFormat="false" ht="15" hidden="false" customHeight="true" outlineLevel="0" collapsed="false">
      <c r="A7" s="9" t="s">
        <v>90</v>
      </c>
      <c r="B7" s="7" t="n">
        <v>-3455</v>
      </c>
      <c r="C7" s="7" t="n">
        <v>-1062</v>
      </c>
      <c r="D7" s="5" t="s">
        <v>88</v>
      </c>
    </row>
    <row r="8" customFormat="false" ht="15" hidden="false" customHeight="true" outlineLevel="0" collapsed="false">
      <c r="A8" s="9" t="s">
        <v>91</v>
      </c>
      <c r="B8" s="7" t="n">
        <v>118254</v>
      </c>
      <c r="C8" s="7" t="n">
        <v>110543</v>
      </c>
      <c r="D8" s="5" t="s">
        <v>88</v>
      </c>
    </row>
    <row r="9" customFormat="false" ht="15" hidden="false" customHeight="true" outlineLevel="0" collapsed="false">
      <c r="A9" s="9"/>
      <c r="D9" s="5"/>
    </row>
    <row r="10" customFormat="false" ht="15" hidden="false" customHeight="true" outlineLevel="0" collapsed="false">
      <c r="A10" s="21" t="s">
        <v>92</v>
      </c>
      <c r="D10" s="5"/>
    </row>
    <row r="11" customFormat="false" ht="15" hidden="false" customHeight="true" outlineLevel="0" collapsed="false">
      <c r="A11" s="9" t="s">
        <v>93</v>
      </c>
      <c r="B11" s="7" t="n">
        <v>-9447</v>
      </c>
      <c r="C11" s="7" t="n">
        <v>-10959</v>
      </c>
      <c r="D11" s="5" t="s">
        <v>88</v>
      </c>
    </row>
    <row r="12" customFormat="false" ht="15" hidden="false" customHeight="true" outlineLevel="0" collapsed="false">
      <c r="A12" s="9" t="s">
        <v>94</v>
      </c>
      <c r="B12" s="7" t="n">
        <v>-48656</v>
      </c>
      <c r="C12" s="7" t="n">
        <v>-29513</v>
      </c>
      <c r="D12" s="5" t="s">
        <v>88</v>
      </c>
    </row>
    <row r="13" customFormat="false" ht="15" hidden="false" customHeight="true" outlineLevel="0" collapsed="false">
      <c r="A13" s="9" t="s">
        <v>95</v>
      </c>
      <c r="B13" s="7" t="n">
        <v>62346</v>
      </c>
      <c r="C13" s="7" t="n">
        <v>39686</v>
      </c>
      <c r="D13" s="5" t="s">
        <v>88</v>
      </c>
    </row>
    <row r="14" customFormat="false" ht="15" hidden="false" customHeight="true" outlineLevel="0" collapsed="false">
      <c r="A14" s="9" t="s">
        <v>96</v>
      </c>
      <c r="B14" s="7" t="n">
        <v>-1308</v>
      </c>
      <c r="C14" s="7" t="n">
        <v>-1337</v>
      </c>
      <c r="D14" s="5" t="s">
        <v>88</v>
      </c>
    </row>
    <row r="15" customFormat="false" ht="15" hidden="false" customHeight="true" outlineLevel="0" collapsed="false">
      <c r="A15" s="21" t="s">
        <v>97</v>
      </c>
      <c r="B15" s="8" t="n">
        <f aca="false">B11+B12+B13+B14</f>
        <v>2935</v>
      </c>
      <c r="C15" s="8" t="n">
        <f aca="false">C11+C12+C13+C14</f>
        <v>-2123</v>
      </c>
      <c r="D15" s="5" t="s">
        <v>57</v>
      </c>
    </row>
    <row r="16" customFormat="false" ht="15" hidden="false" customHeight="true" outlineLevel="0" collapsed="false">
      <c r="A16" s="9"/>
      <c r="D16" s="5"/>
    </row>
    <row r="17" customFormat="false" ht="15" hidden="false" customHeight="true" outlineLevel="0" collapsed="false">
      <c r="A17" s="21" t="s">
        <v>98</v>
      </c>
      <c r="D17" s="5"/>
    </row>
    <row r="18" customFormat="false" ht="15" hidden="false" customHeight="true" outlineLevel="0" collapsed="false">
      <c r="A18" s="9" t="s">
        <v>99</v>
      </c>
      <c r="B18" s="7" t="n">
        <v>-94949</v>
      </c>
      <c r="C18" s="7" t="n">
        <v>-77550</v>
      </c>
      <c r="D18" s="5" t="s">
        <v>88</v>
      </c>
    </row>
    <row r="19" customFormat="false" ht="15" hidden="false" customHeight="true" outlineLevel="0" collapsed="false">
      <c r="A19" s="9" t="s">
        <v>100</v>
      </c>
      <c r="B19" s="7" t="n">
        <v>-15234</v>
      </c>
      <c r="C19" s="7" t="n">
        <v>-15025</v>
      </c>
      <c r="D19" s="5" t="s">
        <v>88</v>
      </c>
    </row>
    <row r="20" customFormat="false" ht="15" hidden="false" customHeight="true" outlineLevel="0" collapsed="false">
      <c r="A20" s="9" t="s">
        <v>101</v>
      </c>
      <c r="B20" s="7" t="n">
        <v>5998</v>
      </c>
      <c r="C20" s="7" t="n">
        <v>5228</v>
      </c>
      <c r="D20" s="5" t="s">
        <v>88</v>
      </c>
    </row>
    <row r="21" customFormat="false" ht="15" hidden="false" customHeight="true" outlineLevel="0" collapsed="false">
      <c r="A21" s="9" t="s">
        <v>102</v>
      </c>
      <c r="B21" s="7" t="n">
        <v>-9958</v>
      </c>
      <c r="C21" s="7" t="n">
        <v>-11151</v>
      </c>
      <c r="D21" s="5" t="s">
        <v>88</v>
      </c>
    </row>
    <row r="22" customFormat="false" ht="15" hidden="false" customHeight="true" outlineLevel="0" collapsed="false">
      <c r="A22" s="9" t="s">
        <v>103</v>
      </c>
      <c r="B22" s="7" t="n">
        <v>-1384</v>
      </c>
      <c r="C22" s="7" t="n">
        <v>-3430</v>
      </c>
      <c r="D22" s="5" t="s">
        <v>88</v>
      </c>
    </row>
    <row r="23" customFormat="false" ht="15" hidden="false" customHeight="true" outlineLevel="0" collapsed="false">
      <c r="A23" s="21" t="s">
        <v>104</v>
      </c>
      <c r="B23" s="8" t="n">
        <f aca="false">B18+B19+B20+B21+B22</f>
        <v>-115527</v>
      </c>
      <c r="C23" s="8" t="n">
        <f aca="false">C18+C19+C20+C21+C22</f>
        <v>-101928</v>
      </c>
      <c r="D23" s="5" t="s">
        <v>57</v>
      </c>
    </row>
    <row r="24" customFormat="false" ht="15" hidden="false" customHeight="true" outlineLevel="0" collapsed="false">
      <c r="A24" s="9"/>
      <c r="D24" s="5"/>
    </row>
    <row r="25" customFormat="false" ht="15" hidden="false" customHeight="true" outlineLevel="0" collapsed="false">
      <c r="A25" s="21" t="s">
        <v>105</v>
      </c>
      <c r="B25" s="8" t="n">
        <f aca="false">B8+B15+B23</f>
        <v>5662</v>
      </c>
      <c r="C25" s="8" t="n">
        <f aca="false">C8+C15+C23</f>
        <v>6492</v>
      </c>
      <c r="D25" s="5" t="s">
        <v>106</v>
      </c>
    </row>
    <row r="26" customFormat="false" ht="15" hidden="false" customHeight="true" outlineLevel="0" collapsed="false">
      <c r="A26" s="9" t="s">
        <v>107</v>
      </c>
      <c r="B26" s="7" t="n">
        <v>29965</v>
      </c>
      <c r="C26" s="7" t="n">
        <v>24977</v>
      </c>
      <c r="D26" s="5" t="s">
        <v>88</v>
      </c>
    </row>
    <row r="27" customFormat="false" ht="15" hidden="false" customHeight="true" outlineLevel="0" collapsed="false">
      <c r="A27" s="21" t="s">
        <v>108</v>
      </c>
      <c r="B27" s="8" t="n">
        <f aca="false">B26+B25</f>
        <v>35627</v>
      </c>
      <c r="C27" s="8" t="n">
        <f aca="false">C26+C25</f>
        <v>31469</v>
      </c>
      <c r="D27" s="5" t="s">
        <v>109</v>
      </c>
    </row>
    <row r="28" customFormat="false" ht="15" hidden="false" customHeight="true" outlineLevel="0" collapsed="false">
      <c r="A28" s="9"/>
      <c r="D28" s="5"/>
    </row>
    <row r="29" customFormat="false" ht="15" hidden="false" customHeight="true" outlineLevel="0" collapsed="false">
      <c r="A29" s="21" t="s">
        <v>110</v>
      </c>
      <c r="B29" s="8" t="n">
        <f aca="false">B8+B11</f>
        <v>108807</v>
      </c>
      <c r="C29" s="8" t="n">
        <f aca="false">C8+C11</f>
        <v>99584</v>
      </c>
      <c r="D29" s="5" t="s">
        <v>111</v>
      </c>
    </row>
    <row r="30" customFormat="false" ht="15" hidden="false" customHeight="true" outlineLevel="0" collapsed="false">
      <c r="A30" s="21" t="s">
        <v>112</v>
      </c>
      <c r="B30" s="23" t="s">
        <v>113</v>
      </c>
      <c r="C30" s="23" t="s">
        <v>113</v>
      </c>
      <c r="D30" s="5" t="s">
        <v>114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E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36"/>
    <col collapsed="false" customWidth="true" hidden="false" outlineLevel="0" max="5" min="5" style="1" width="20"/>
  </cols>
  <sheetData>
    <row r="1" customFormat="false" ht="15" hidden="false" customHeight="true" outlineLevel="0" collapsed="false">
      <c r="A1" s="2" t="s">
        <v>115</v>
      </c>
      <c r="B1" s="2"/>
      <c r="C1" s="2"/>
      <c r="D1" s="2"/>
      <c r="E1" s="2"/>
    </row>
    <row r="2" customFormat="false" ht="15" hidden="false" customHeight="true" outlineLevel="0" collapsed="false">
      <c r="A2" s="24" t="s">
        <v>116</v>
      </c>
      <c r="B2" s="24"/>
      <c r="C2" s="24"/>
      <c r="D2" s="24"/>
      <c r="E2" s="24"/>
    </row>
    <row r="3" customFormat="false" ht="15" hidden="false" customHeight="true" outlineLevel="0" collapsed="false">
      <c r="A3" s="3" t="s">
        <v>117</v>
      </c>
      <c r="B3" s="3" t="s">
        <v>118</v>
      </c>
      <c r="C3" s="3" t="s">
        <v>119</v>
      </c>
      <c r="D3" s="3" t="s">
        <v>120</v>
      </c>
      <c r="E3" s="3" t="s">
        <v>121</v>
      </c>
    </row>
    <row r="4" customFormat="false" ht="15" hidden="false" customHeight="true" outlineLevel="0" collapsed="false">
      <c r="A4" s="25" t="s">
        <v>122</v>
      </c>
      <c r="B4" s="25"/>
      <c r="C4" s="25"/>
      <c r="D4" s="25"/>
      <c r="E4" s="25"/>
    </row>
    <row r="5" customFormat="false" ht="15" hidden="false" customHeight="true" outlineLevel="0" collapsed="false">
      <c r="A5" s="26" t="s">
        <v>123</v>
      </c>
      <c r="B5" s="27" t="n">
        <v>152.37</v>
      </c>
      <c r="C5" s="28" t="s">
        <v>124</v>
      </c>
      <c r="D5" s="5" t="s">
        <v>125</v>
      </c>
      <c r="E5" s="29" t="s">
        <v>126</v>
      </c>
    </row>
    <row r="6" customFormat="false" ht="15" hidden="false" customHeight="true" outlineLevel="0" collapsed="false">
      <c r="A6" s="26" t="s">
        <v>127</v>
      </c>
      <c r="B6" s="22" t="n">
        <f aca="false">'Income Statement'!B36</f>
        <v>15115</v>
      </c>
      <c r="C6" s="28" t="s">
        <v>128</v>
      </c>
      <c r="D6" s="5" t="s">
        <v>129</v>
      </c>
      <c r="E6" s="29" t="s">
        <v>130</v>
      </c>
    </row>
    <row r="7" customFormat="false" ht="15" hidden="false" customHeight="true" outlineLevel="0" collapsed="false">
      <c r="A7" s="26" t="s">
        <v>131</v>
      </c>
      <c r="B7" s="8" t="n">
        <f aca="false">B5*B6</f>
        <v>2303072.55</v>
      </c>
      <c r="C7" s="28" t="s">
        <v>132</v>
      </c>
      <c r="D7" s="5" t="s">
        <v>133</v>
      </c>
      <c r="E7" s="29"/>
    </row>
    <row r="8" customFormat="false" ht="15" hidden="false" customHeight="true" outlineLevel="0" collapsed="false">
      <c r="A8" s="26" t="s">
        <v>134</v>
      </c>
      <c r="B8" s="30" t="n">
        <v>0.09</v>
      </c>
      <c r="C8" s="28" t="s">
        <v>135</v>
      </c>
      <c r="D8" s="5" t="s">
        <v>136</v>
      </c>
      <c r="E8" s="29" t="s">
        <v>137</v>
      </c>
    </row>
    <row r="9" customFormat="false" ht="15" hidden="false" customHeight="true" outlineLevel="0" collapsed="false">
      <c r="A9" s="26" t="s">
        <v>138</v>
      </c>
      <c r="B9" s="31" t="n">
        <f aca="false">'Income Statement'!B35</f>
        <v>0.302299586419941</v>
      </c>
      <c r="C9" s="28" t="s">
        <v>135</v>
      </c>
      <c r="D9" s="5" t="s">
        <v>139</v>
      </c>
      <c r="E9" s="29"/>
    </row>
    <row r="10" customFormat="false" ht="15" hidden="false" customHeight="true" outlineLevel="0" collapsed="false">
      <c r="A10" s="9"/>
      <c r="B10" s="9"/>
      <c r="C10" s="9"/>
      <c r="D10" s="9"/>
      <c r="E10" s="9"/>
    </row>
    <row r="11" customFormat="false" ht="15" hidden="false" customHeight="true" outlineLevel="0" collapsed="false">
      <c r="A11" s="25" t="s">
        <v>140</v>
      </c>
      <c r="B11" s="25"/>
      <c r="C11" s="25"/>
      <c r="D11" s="25"/>
      <c r="E11" s="25"/>
    </row>
    <row r="12" customFormat="false" ht="15" hidden="false" customHeight="true" outlineLevel="0" collapsed="false">
      <c r="A12" s="26" t="s">
        <v>141</v>
      </c>
      <c r="B12" s="22" t="n">
        <f aca="false">'Balance Sheet'!C36</f>
        <v>62146</v>
      </c>
      <c r="C12" s="28" t="s">
        <v>132</v>
      </c>
      <c r="D12" s="5" t="s">
        <v>142</v>
      </c>
      <c r="E12" s="29" t="s">
        <v>143</v>
      </c>
    </row>
    <row r="13" customFormat="false" ht="15" hidden="false" customHeight="true" outlineLevel="0" collapsed="false">
      <c r="A13" s="26" t="s">
        <v>144</v>
      </c>
      <c r="B13" s="22" t="n">
        <f aca="false">'Balance Sheet'!C7</f>
        <v>6331</v>
      </c>
      <c r="C13" s="28" t="s">
        <v>132</v>
      </c>
      <c r="D13" s="5" t="s">
        <v>145</v>
      </c>
      <c r="E13" s="29" t="s">
        <v>146</v>
      </c>
    </row>
    <row r="14" customFormat="false" ht="15" hidden="false" customHeight="true" outlineLevel="0" collapsed="false">
      <c r="A14" s="26" t="s">
        <v>147</v>
      </c>
      <c r="B14" s="22" t="n">
        <f aca="false">'Balance Sheet'!C6</f>
        <v>29508</v>
      </c>
      <c r="C14" s="28" t="s">
        <v>132</v>
      </c>
      <c r="D14" s="5" t="s">
        <v>148</v>
      </c>
      <c r="E14" s="29" t="s">
        <v>149</v>
      </c>
    </row>
    <row r="15" customFormat="false" ht="15" hidden="false" customHeight="true" outlineLevel="0" collapsed="false">
      <c r="A15" s="26" t="s">
        <v>150</v>
      </c>
      <c r="B15" s="22" t="n">
        <f aca="false">'Balance Sheet'!C17</f>
        <v>321106</v>
      </c>
      <c r="C15" s="28" t="s">
        <v>132</v>
      </c>
      <c r="D15" s="5" t="s">
        <v>151</v>
      </c>
      <c r="E15" s="29" t="s">
        <v>152</v>
      </c>
    </row>
    <row r="16" customFormat="false" ht="15" hidden="false" customHeight="true" outlineLevel="0" collapsed="false">
      <c r="A16" s="26" t="s">
        <v>153</v>
      </c>
      <c r="B16" s="22" t="n">
        <f aca="false">'Balance Sheet'!C36+'Balance Sheet'!C26</f>
        <v>157427</v>
      </c>
      <c r="C16" s="28" t="s">
        <v>132</v>
      </c>
      <c r="D16" s="5" t="s">
        <v>154</v>
      </c>
      <c r="E16" s="29" t="s">
        <v>155</v>
      </c>
    </row>
    <row r="17" customFormat="false" ht="15" hidden="false" customHeight="true" outlineLevel="0" collapsed="false">
      <c r="A17" s="9"/>
      <c r="B17" s="9"/>
      <c r="C17" s="9"/>
      <c r="D17" s="9"/>
      <c r="E17" s="9"/>
    </row>
    <row r="18" customFormat="false" ht="15" hidden="false" customHeight="true" outlineLevel="0" collapsed="false">
      <c r="A18" s="25" t="s">
        <v>156</v>
      </c>
      <c r="B18" s="25"/>
      <c r="C18" s="25"/>
      <c r="D18" s="25"/>
      <c r="E18" s="25"/>
    </row>
    <row r="19" customFormat="false" ht="15" hidden="false" customHeight="true" outlineLevel="0" collapsed="false">
      <c r="A19" s="26" t="s">
        <v>157</v>
      </c>
      <c r="B19" s="22" t="n">
        <f aca="false">'Income Statement'!B31</f>
        <v>68660</v>
      </c>
      <c r="C19" s="28" t="s">
        <v>132</v>
      </c>
      <c r="D19" s="5" t="s">
        <v>158</v>
      </c>
      <c r="E19" s="29" t="s">
        <v>159</v>
      </c>
    </row>
    <row r="20" customFormat="false" ht="15" hidden="false" customHeight="true" outlineLevel="0" collapsed="false">
      <c r="A20" s="26" t="s">
        <v>160</v>
      </c>
      <c r="B20" s="22" t="n">
        <f aca="false">'Income Statement'!B20</f>
        <v>98306</v>
      </c>
      <c r="C20" s="28" t="s">
        <v>132</v>
      </c>
      <c r="D20" s="5" t="s">
        <v>161</v>
      </c>
      <c r="E20" s="29" t="s">
        <v>162</v>
      </c>
    </row>
    <row r="21" customFormat="false" ht="15" hidden="false" customHeight="true" outlineLevel="0" collapsed="false">
      <c r="A21" s="26" t="s">
        <v>163</v>
      </c>
      <c r="B21" s="22" t="n">
        <f aca="false">'Income Statement'!B33</f>
        <v>109751</v>
      </c>
      <c r="C21" s="28" t="s">
        <v>132</v>
      </c>
      <c r="D21" s="5" t="s">
        <v>164</v>
      </c>
      <c r="E21" s="29" t="s">
        <v>165</v>
      </c>
    </row>
    <row r="22" customFormat="false" ht="15" hidden="false" customHeight="true" outlineLevel="0" collapsed="false">
      <c r="A22" s="26" t="s">
        <v>166</v>
      </c>
      <c r="B22" s="22" t="n">
        <f aca="false">'Income Statement'!B6</f>
        <v>391035</v>
      </c>
      <c r="C22" s="28" t="s">
        <v>132</v>
      </c>
      <c r="D22" s="5" t="s">
        <v>9</v>
      </c>
      <c r="E22" s="29" t="s">
        <v>167</v>
      </c>
    </row>
    <row r="23" customFormat="false" ht="15" hidden="false" customHeight="true" outlineLevel="0" collapsed="false">
      <c r="A23" s="26" t="s">
        <v>168</v>
      </c>
      <c r="B23" s="22" t="n">
        <f aca="false">'Income Statement'!B13</f>
        <v>155773</v>
      </c>
      <c r="C23" s="28" t="s">
        <v>132</v>
      </c>
      <c r="D23" s="5" t="s">
        <v>169</v>
      </c>
      <c r="E23" s="29" t="s">
        <v>170</v>
      </c>
    </row>
    <row r="24" customFormat="false" ht="15" hidden="false" customHeight="true" outlineLevel="0" collapsed="false">
      <c r="A24" s="26" t="s">
        <v>171</v>
      </c>
      <c r="B24" s="22" t="n">
        <f aca="false">ABS('Income Statement'!B24)</f>
        <v>3930</v>
      </c>
      <c r="C24" s="28" t="s">
        <v>132</v>
      </c>
      <c r="D24" s="5" t="s">
        <v>172</v>
      </c>
      <c r="E24" s="29" t="s">
        <v>173</v>
      </c>
    </row>
    <row r="25" customFormat="false" ht="15" hidden="false" customHeight="true" outlineLevel="0" collapsed="false">
      <c r="A25" s="26" t="s">
        <v>174</v>
      </c>
      <c r="B25" s="22" t="n">
        <f aca="false">'Income Statement'!B29</f>
        <v>29749</v>
      </c>
      <c r="C25" s="28" t="s">
        <v>132</v>
      </c>
      <c r="D25" s="5" t="s">
        <v>175</v>
      </c>
      <c r="E25" s="29" t="s">
        <v>176</v>
      </c>
    </row>
    <row r="26" customFormat="false" ht="15" hidden="false" customHeight="true" outlineLevel="0" collapsed="false">
      <c r="A26" s="26" t="s">
        <v>177</v>
      </c>
      <c r="B26" s="22" t="n">
        <f aca="false">'Balance Sheet'!B36</f>
        <v>56988</v>
      </c>
      <c r="C26" s="28" t="s">
        <v>132</v>
      </c>
      <c r="D26" s="5" t="s">
        <v>178</v>
      </c>
      <c r="E26" s="29" t="s">
        <v>179</v>
      </c>
    </row>
    <row r="27" customFormat="false" ht="15" hidden="false" customHeight="true" outlineLevel="0" collapsed="false">
      <c r="A27" s="26" t="s">
        <v>180</v>
      </c>
      <c r="B27" s="22" t="n">
        <f aca="false">'Balance Sheet'!B4</f>
        <v>29943</v>
      </c>
      <c r="C27" s="28" t="s">
        <v>132</v>
      </c>
      <c r="D27" s="5" t="s">
        <v>181</v>
      </c>
      <c r="E27" s="29" t="s">
        <v>182</v>
      </c>
    </row>
    <row r="28" customFormat="false" ht="15" hidden="false" customHeight="true" outlineLevel="0" collapsed="false">
      <c r="A28" s="26" t="s">
        <v>183</v>
      </c>
      <c r="B28" s="22" t="n">
        <f aca="false">'Balance Sheet'!B9</f>
        <v>120562</v>
      </c>
      <c r="C28" s="28" t="s">
        <v>132</v>
      </c>
      <c r="D28" s="5" t="s">
        <v>184</v>
      </c>
      <c r="E28" s="29" t="s">
        <v>185</v>
      </c>
    </row>
    <row r="29" customFormat="false" ht="15" hidden="false" customHeight="true" outlineLevel="0" collapsed="false">
      <c r="A29" s="26" t="s">
        <v>186</v>
      </c>
      <c r="B29" s="22" t="n">
        <f aca="false">'Balance Sheet'!B23</f>
        <v>158176</v>
      </c>
      <c r="C29" s="28" t="s">
        <v>132</v>
      </c>
      <c r="D29" s="5" t="s">
        <v>187</v>
      </c>
      <c r="E29" s="29" t="s">
        <v>188</v>
      </c>
    </row>
    <row r="30" customFormat="false" ht="15" hidden="false" customHeight="true" outlineLevel="0" collapsed="false">
      <c r="A30" s="26" t="s">
        <v>189</v>
      </c>
      <c r="B30" s="22" t="n">
        <f aca="false">'Balance Sheet'!B26</f>
        <v>85750</v>
      </c>
      <c r="C30" s="28" t="s">
        <v>132</v>
      </c>
      <c r="D30" s="5" t="s">
        <v>190</v>
      </c>
      <c r="E30" s="29" t="s">
        <v>191</v>
      </c>
    </row>
    <row r="31" customFormat="false" ht="15" hidden="false" customHeight="true" outlineLevel="0" collapsed="false">
      <c r="A31" s="26" t="s">
        <v>192</v>
      </c>
      <c r="B31" s="22" t="n">
        <f aca="false">'Balance Sheet'!B17</f>
        <v>325732</v>
      </c>
      <c r="C31" s="28" t="s">
        <v>132</v>
      </c>
      <c r="D31" s="5" t="s">
        <v>193</v>
      </c>
      <c r="E31" s="29" t="s">
        <v>194</v>
      </c>
    </row>
    <row r="32" customFormat="false" ht="15" hidden="false" customHeight="true" outlineLevel="0" collapsed="false">
      <c r="A32" s="26" t="s">
        <v>195</v>
      </c>
      <c r="B32" s="22" t="n">
        <f aca="false">'Balance Sheet'!B36+'Balance Sheet'!B26</f>
        <v>142738</v>
      </c>
      <c r="C32" s="28" t="s">
        <v>132</v>
      </c>
      <c r="D32" s="5" t="s">
        <v>196</v>
      </c>
      <c r="E32" s="29" t="s">
        <v>155</v>
      </c>
    </row>
    <row r="33" customFormat="false" ht="15" hidden="false" customHeight="true" outlineLevel="0" collapsed="false">
      <c r="A33" s="26" t="s">
        <v>197</v>
      </c>
      <c r="B33" s="22" t="n">
        <f aca="false">'Balance Sheet'!B30</f>
        <v>288540</v>
      </c>
      <c r="C33" s="28" t="s">
        <v>132</v>
      </c>
      <c r="D33" s="5" t="s">
        <v>198</v>
      </c>
      <c r="E33" s="29" t="s">
        <v>199</v>
      </c>
    </row>
    <row r="34" customFormat="false" ht="15" hidden="false" customHeight="true" outlineLevel="0" collapsed="false">
      <c r="A34" s="26" t="s">
        <v>200</v>
      </c>
      <c r="B34" s="8" t="n">
        <f aca="false">B28-B29</f>
        <v>-37614</v>
      </c>
      <c r="C34" s="28" t="s">
        <v>132</v>
      </c>
      <c r="D34" s="5" t="s">
        <v>201</v>
      </c>
      <c r="E34" s="29"/>
    </row>
    <row r="35" customFormat="false" ht="15" hidden="false" customHeight="true" outlineLevel="0" collapsed="false">
      <c r="A35" s="26" t="s">
        <v>202</v>
      </c>
      <c r="B35" s="22" t="n">
        <f aca="false">'Balance Sheet'!B7</f>
        <v>7286</v>
      </c>
      <c r="C35" s="28" t="s">
        <v>132</v>
      </c>
      <c r="D35" s="5" t="s">
        <v>203</v>
      </c>
      <c r="E35" s="29" t="s">
        <v>204</v>
      </c>
    </row>
    <row r="36" customFormat="false" ht="15" hidden="false" customHeight="true" outlineLevel="0" collapsed="false">
      <c r="A36" s="26" t="s">
        <v>205</v>
      </c>
      <c r="B36" s="22" t="n">
        <f aca="false">'Balance Sheet'!B6</f>
        <v>33410</v>
      </c>
      <c r="C36" s="28" t="s">
        <v>132</v>
      </c>
      <c r="D36" s="5" t="s">
        <v>206</v>
      </c>
      <c r="E36" s="29" t="s">
        <v>207</v>
      </c>
    </row>
    <row r="37" customFormat="false" ht="15" hidden="false" customHeight="true" outlineLevel="0" collapsed="false">
      <c r="A37" s="26" t="s">
        <v>208</v>
      </c>
      <c r="B37" s="32" t="n">
        <f aca="false">B22/365</f>
        <v>1071.32876712329</v>
      </c>
      <c r="C37" s="28" t="s">
        <v>132</v>
      </c>
      <c r="D37" s="5" t="s">
        <v>209</v>
      </c>
      <c r="E37" s="29"/>
    </row>
    <row r="38" customFormat="false" ht="15" hidden="false" customHeight="true" outlineLevel="0" collapsed="false">
      <c r="A38" s="26" t="s">
        <v>210</v>
      </c>
      <c r="B38" s="8" t="n">
        <f aca="false">B20*(1-B9)</f>
        <v>68588.1368574013</v>
      </c>
      <c r="C38" s="28" t="s">
        <v>132</v>
      </c>
      <c r="D38" s="5" t="s">
        <v>211</v>
      </c>
      <c r="E38" s="29"/>
    </row>
    <row r="39" customFormat="false" ht="15" hidden="false" customHeight="true" outlineLevel="0" collapsed="false">
      <c r="A39" s="9"/>
      <c r="B39" s="9"/>
      <c r="C39" s="9"/>
      <c r="D39" s="9"/>
      <c r="E39" s="9"/>
    </row>
    <row r="40" customFormat="false" ht="15" hidden="false" customHeight="true" outlineLevel="0" collapsed="false">
      <c r="A40" s="25" t="s">
        <v>212</v>
      </c>
      <c r="B40" s="25"/>
      <c r="C40" s="25"/>
      <c r="D40" s="25"/>
      <c r="E40" s="25"/>
    </row>
    <row r="41" customFormat="false" ht="15" hidden="false" customHeight="true" outlineLevel="0" collapsed="false">
      <c r="A41" s="26" t="s">
        <v>213</v>
      </c>
      <c r="B41" s="8" t="n">
        <f aca="false">(B12+B26)/2</f>
        <v>59567</v>
      </c>
      <c r="C41" s="28" t="s">
        <v>132</v>
      </c>
      <c r="D41" s="5" t="s">
        <v>214</v>
      </c>
      <c r="E41" s="29"/>
    </row>
    <row r="42" customFormat="false" ht="15" hidden="false" customHeight="true" outlineLevel="0" collapsed="false">
      <c r="A42" s="26" t="s">
        <v>215</v>
      </c>
      <c r="B42" s="8" t="n">
        <f aca="false">(B15+B31)/2</f>
        <v>323419</v>
      </c>
      <c r="C42" s="28" t="s">
        <v>132</v>
      </c>
      <c r="D42" s="5" t="s">
        <v>216</v>
      </c>
      <c r="E42" s="29"/>
    </row>
    <row r="43" customFormat="false" ht="15" hidden="false" customHeight="true" outlineLevel="0" collapsed="false">
      <c r="A43" s="26" t="s">
        <v>217</v>
      </c>
      <c r="B43" s="8" t="n">
        <f aca="false">(B16+B32)/2</f>
        <v>150082.5</v>
      </c>
      <c r="C43" s="28" t="s">
        <v>132</v>
      </c>
      <c r="D43" s="5" t="s">
        <v>218</v>
      </c>
      <c r="E43" s="29"/>
    </row>
    <row r="46" customFormat="false" ht="15" hidden="false" customHeight="true" outlineLevel="0" collapsed="false">
      <c r="A46" s="24" t="s">
        <v>219</v>
      </c>
      <c r="B46" s="24"/>
      <c r="C46" s="24"/>
      <c r="D46" s="24"/>
      <c r="E46" s="24"/>
    </row>
    <row r="47" customFormat="false" ht="15" hidden="false" customHeight="true" outlineLevel="0" collapsed="false">
      <c r="A47" s="3" t="s">
        <v>220</v>
      </c>
      <c r="B47" s="3" t="s">
        <v>118</v>
      </c>
      <c r="C47" s="3" t="s">
        <v>119</v>
      </c>
      <c r="D47" s="3" t="s">
        <v>221</v>
      </c>
      <c r="E47" s="3" t="s">
        <v>222</v>
      </c>
    </row>
    <row r="48" customFormat="false" ht="15" hidden="false" customHeight="true" outlineLevel="0" collapsed="false">
      <c r="A48" s="24" t="s">
        <v>223</v>
      </c>
      <c r="B48" s="24"/>
      <c r="C48" s="24"/>
      <c r="D48" s="24"/>
      <c r="E48" s="24"/>
    </row>
    <row r="49" customFormat="false" ht="32.25" hidden="false" customHeight="true" outlineLevel="0" collapsed="false">
      <c r="A49" s="33" t="s">
        <v>224</v>
      </c>
      <c r="B49" s="8" t="n">
        <f aca="false">B7-B26</f>
        <v>2246084.55</v>
      </c>
      <c r="C49" s="34" t="s">
        <v>132</v>
      </c>
      <c r="D49" s="35" t="s">
        <v>225</v>
      </c>
      <c r="E49" s="36" t="s">
        <v>226</v>
      </c>
    </row>
    <row r="50" customFormat="false" ht="21.75" hidden="false" customHeight="true" outlineLevel="0" collapsed="false">
      <c r="A50" s="33" t="s">
        <v>227</v>
      </c>
      <c r="B50" s="37" t="n">
        <f aca="false">B7/B26</f>
        <v>40.4132896399242</v>
      </c>
      <c r="C50" s="34" t="s">
        <v>228</v>
      </c>
      <c r="D50" s="35" t="s">
        <v>229</v>
      </c>
      <c r="E50" s="36" t="s">
        <v>230</v>
      </c>
    </row>
    <row r="51" customFormat="false" ht="32.25" hidden="false" customHeight="true" outlineLevel="0" collapsed="false">
      <c r="A51" s="33" t="s">
        <v>231</v>
      </c>
      <c r="B51" s="8" t="n">
        <f aca="false">B38-(B8*B32)</f>
        <v>55741.7168574013</v>
      </c>
      <c r="C51" s="34" t="s">
        <v>132</v>
      </c>
      <c r="D51" s="35" t="s">
        <v>232</v>
      </c>
      <c r="E51" s="36" t="s">
        <v>233</v>
      </c>
    </row>
    <row r="52" customFormat="false" ht="15" hidden="false" customHeight="true" outlineLevel="0" collapsed="false">
      <c r="A52" s="9"/>
      <c r="B52" s="9"/>
      <c r="C52" s="9"/>
      <c r="D52" s="9"/>
      <c r="E52" s="9"/>
    </row>
    <row r="53" customFormat="false" ht="15" hidden="false" customHeight="true" outlineLevel="0" collapsed="false">
      <c r="A53" s="24" t="s">
        <v>234</v>
      </c>
      <c r="B53" s="24"/>
      <c r="C53" s="24"/>
      <c r="D53" s="24"/>
      <c r="E53" s="24"/>
    </row>
    <row r="54" customFormat="false" ht="21.75" hidden="false" customHeight="true" outlineLevel="0" collapsed="false">
      <c r="A54" s="33" t="s">
        <v>235</v>
      </c>
      <c r="B54" s="10" t="n">
        <f aca="false">B19/B15</f>
        <v>0.213823472622748</v>
      </c>
      <c r="C54" s="34" t="s">
        <v>135</v>
      </c>
      <c r="D54" s="35" t="s">
        <v>236</v>
      </c>
      <c r="E54" s="36" t="s">
        <v>237</v>
      </c>
    </row>
    <row r="55" customFormat="false" ht="21.75" hidden="false" customHeight="true" outlineLevel="0" collapsed="false">
      <c r="A55" s="33" t="s">
        <v>238</v>
      </c>
      <c r="B55" s="10" t="n">
        <f aca="false">B19/B16</f>
        <v>0.436138654741563</v>
      </c>
      <c r="C55" s="34" t="s">
        <v>135</v>
      </c>
      <c r="D55" s="35" t="s">
        <v>239</v>
      </c>
      <c r="E55" s="36" t="s">
        <v>240</v>
      </c>
    </row>
    <row r="56" customFormat="false" ht="21.75" hidden="false" customHeight="true" outlineLevel="0" collapsed="false">
      <c r="A56" s="33" t="s">
        <v>241</v>
      </c>
      <c r="B56" s="10" t="n">
        <f aca="false">B19/B12</f>
        <v>1.10481768738133</v>
      </c>
      <c r="C56" s="34" t="s">
        <v>135</v>
      </c>
      <c r="D56" s="35" t="s">
        <v>242</v>
      </c>
      <c r="E56" s="36" t="s">
        <v>243</v>
      </c>
    </row>
    <row r="57" customFormat="false" ht="21.75" hidden="false" customHeight="true" outlineLevel="0" collapsed="false">
      <c r="A57" s="33" t="s">
        <v>244</v>
      </c>
      <c r="B57" s="10" t="n">
        <f aca="false">B19/B42</f>
        <v>0.212294268425788</v>
      </c>
      <c r="C57" s="34" t="s">
        <v>135</v>
      </c>
      <c r="D57" s="35" t="s">
        <v>245</v>
      </c>
      <c r="E57" s="36" t="s">
        <v>246</v>
      </c>
    </row>
    <row r="58" customFormat="false" ht="21.75" hidden="false" customHeight="true" outlineLevel="0" collapsed="false">
      <c r="A58" s="33" t="s">
        <v>247</v>
      </c>
      <c r="B58" s="10" t="n">
        <f aca="false">B19/B43</f>
        <v>0.45748171838822</v>
      </c>
      <c r="C58" s="34" t="s">
        <v>135</v>
      </c>
      <c r="D58" s="35" t="s">
        <v>248</v>
      </c>
      <c r="E58" s="36" t="s">
        <v>249</v>
      </c>
    </row>
    <row r="59" customFormat="false" ht="15" hidden="false" customHeight="true" outlineLevel="0" collapsed="false">
      <c r="A59" s="33" t="s">
        <v>250</v>
      </c>
      <c r="B59" s="10" t="n">
        <f aca="false">B19/B41</f>
        <v>1.15265163597294</v>
      </c>
      <c r="C59" s="34" t="s">
        <v>135</v>
      </c>
      <c r="D59" s="35" t="s">
        <v>251</v>
      </c>
      <c r="E59" s="36" t="s">
        <v>252</v>
      </c>
    </row>
    <row r="60" customFormat="false" ht="15" hidden="false" customHeight="true" outlineLevel="0" collapsed="false">
      <c r="A60" s="9"/>
      <c r="B60" s="9"/>
      <c r="C60" s="9"/>
      <c r="D60" s="9"/>
      <c r="E60" s="9"/>
    </row>
    <row r="61" customFormat="false" ht="15" hidden="false" customHeight="true" outlineLevel="0" collapsed="false">
      <c r="A61" s="24" t="s">
        <v>253</v>
      </c>
      <c r="B61" s="24"/>
      <c r="C61" s="24"/>
      <c r="D61" s="24"/>
      <c r="E61" s="24"/>
    </row>
    <row r="62" customFormat="false" ht="21.75" hidden="false" customHeight="true" outlineLevel="0" collapsed="false">
      <c r="A62" s="33" t="s">
        <v>254</v>
      </c>
      <c r="B62" s="37" t="n">
        <f aca="false">B22/B15</f>
        <v>1.2177754386402</v>
      </c>
      <c r="C62" s="34" t="s">
        <v>228</v>
      </c>
      <c r="D62" s="35" t="s">
        <v>255</v>
      </c>
      <c r="E62" s="36" t="s">
        <v>256</v>
      </c>
    </row>
    <row r="63" customFormat="false" ht="21.75" hidden="false" customHeight="true" outlineLevel="0" collapsed="false">
      <c r="A63" s="33" t="s">
        <v>257</v>
      </c>
      <c r="B63" s="37" t="n">
        <f aca="false">B22/B14</f>
        <v>13.2518300122001</v>
      </c>
      <c r="C63" s="34" t="s">
        <v>228</v>
      </c>
      <c r="D63" s="35" t="s">
        <v>258</v>
      </c>
      <c r="E63" s="36" t="s">
        <v>259</v>
      </c>
    </row>
    <row r="64" customFormat="false" ht="21.75" hidden="false" customHeight="true" outlineLevel="0" collapsed="false">
      <c r="A64" s="33" t="s">
        <v>260</v>
      </c>
      <c r="B64" s="38" t="n">
        <f aca="false">365/B22*B14</f>
        <v>27.5433656833787</v>
      </c>
      <c r="C64" s="34" t="s">
        <v>261</v>
      </c>
      <c r="D64" s="35" t="s">
        <v>262</v>
      </c>
      <c r="E64" s="36" t="s">
        <v>263</v>
      </c>
    </row>
    <row r="65" customFormat="false" ht="21.75" hidden="false" customHeight="true" outlineLevel="0" collapsed="false">
      <c r="A65" s="33" t="s">
        <v>264</v>
      </c>
      <c r="B65" s="37" t="n">
        <f aca="false">B22/B13</f>
        <v>61.7651239930501</v>
      </c>
      <c r="C65" s="34" t="s">
        <v>228</v>
      </c>
      <c r="D65" s="35" t="s">
        <v>265</v>
      </c>
      <c r="E65" s="36" t="s">
        <v>266</v>
      </c>
    </row>
    <row r="66" customFormat="false" ht="15" hidden="false" customHeight="true" outlineLevel="0" collapsed="false">
      <c r="A66" s="33" t="s">
        <v>267</v>
      </c>
      <c r="B66" s="38" t="n">
        <f aca="false">365/B22*B13</f>
        <v>5.90948380579744</v>
      </c>
      <c r="C66" s="34" t="s">
        <v>261</v>
      </c>
      <c r="D66" s="35" t="s">
        <v>268</v>
      </c>
      <c r="E66" s="36" t="s">
        <v>269</v>
      </c>
    </row>
    <row r="67" customFormat="false" ht="21.75" hidden="false" customHeight="true" outlineLevel="0" collapsed="false">
      <c r="A67" s="33" t="s">
        <v>270</v>
      </c>
      <c r="B67" s="10" t="n">
        <f aca="false">B19/B22</f>
        <v>0.175585305663176</v>
      </c>
      <c r="C67" s="34" t="s">
        <v>135</v>
      </c>
      <c r="D67" s="35" t="s">
        <v>271</v>
      </c>
      <c r="E67" s="36" t="s">
        <v>272</v>
      </c>
    </row>
    <row r="68" customFormat="false" ht="21.75" hidden="false" customHeight="true" outlineLevel="0" collapsed="false">
      <c r="A68" s="33" t="s">
        <v>273</v>
      </c>
      <c r="B68" s="10" t="n">
        <f aca="false">B20/B22</f>
        <v>0.251399491094148</v>
      </c>
      <c r="C68" s="34" t="s">
        <v>135</v>
      </c>
      <c r="D68" s="35" t="s">
        <v>274</v>
      </c>
      <c r="E68" s="36" t="s">
        <v>275</v>
      </c>
    </row>
    <row r="69" customFormat="false" ht="21.75" hidden="false" customHeight="true" outlineLevel="0" collapsed="false">
      <c r="A69" s="33" t="s">
        <v>13</v>
      </c>
      <c r="B69" s="10" t="n">
        <f aca="false">B23/B22</f>
        <v>0.398360760545731</v>
      </c>
      <c r="C69" s="34" t="s">
        <v>135</v>
      </c>
      <c r="D69" s="35" t="s">
        <v>276</v>
      </c>
      <c r="E69" s="36" t="s">
        <v>277</v>
      </c>
    </row>
    <row r="70" customFormat="false" ht="15" hidden="false" customHeight="true" outlineLevel="0" collapsed="false">
      <c r="A70" s="9"/>
      <c r="B70" s="9"/>
      <c r="C70" s="9"/>
      <c r="D70" s="9"/>
      <c r="E70" s="9"/>
    </row>
    <row r="71" customFormat="false" ht="15" hidden="false" customHeight="true" outlineLevel="0" collapsed="false">
      <c r="A71" s="24" t="s">
        <v>278</v>
      </c>
      <c r="B71" s="24"/>
      <c r="C71" s="24"/>
      <c r="D71" s="24"/>
      <c r="E71" s="24"/>
    </row>
    <row r="72" customFormat="false" ht="21.75" hidden="false" customHeight="true" outlineLevel="0" collapsed="false">
      <c r="A72" s="33" t="s">
        <v>279</v>
      </c>
      <c r="B72" s="10" t="n">
        <f aca="false">B30/(B30+B26)</f>
        <v>0.600751026355981</v>
      </c>
      <c r="C72" s="34" t="s">
        <v>135</v>
      </c>
      <c r="D72" s="35" t="s">
        <v>280</v>
      </c>
      <c r="E72" s="36" t="s">
        <v>281</v>
      </c>
    </row>
    <row r="73" customFormat="false" ht="21.75" hidden="false" customHeight="true" outlineLevel="0" collapsed="false">
      <c r="A73" s="33" t="s">
        <v>282</v>
      </c>
      <c r="B73" s="37" t="n">
        <f aca="false">B30/B26</f>
        <v>1.50470274443743</v>
      </c>
      <c r="C73" s="34" t="s">
        <v>228</v>
      </c>
      <c r="D73" s="35" t="s">
        <v>283</v>
      </c>
      <c r="E73" s="36" t="s">
        <v>284</v>
      </c>
    </row>
    <row r="74" customFormat="false" ht="21.75" hidden="false" customHeight="true" outlineLevel="0" collapsed="false">
      <c r="A74" s="33" t="s">
        <v>285</v>
      </c>
      <c r="B74" s="10" t="n">
        <f aca="false">B33/B31</f>
        <v>0.885820244863876</v>
      </c>
      <c r="C74" s="34" t="s">
        <v>135</v>
      </c>
      <c r="D74" s="35" t="s">
        <v>286</v>
      </c>
      <c r="E74" s="36" t="s">
        <v>287</v>
      </c>
    </row>
    <row r="75" customFormat="false" ht="21.75" hidden="false" customHeight="true" outlineLevel="0" collapsed="false">
      <c r="A75" s="33" t="s">
        <v>288</v>
      </c>
      <c r="B75" s="37" t="n">
        <f aca="false">B20/B24</f>
        <v>25.0142493638677</v>
      </c>
      <c r="C75" s="34" t="s">
        <v>228</v>
      </c>
      <c r="D75" s="35" t="s">
        <v>289</v>
      </c>
      <c r="E75" s="36" t="s">
        <v>290</v>
      </c>
    </row>
    <row r="76" customFormat="false" ht="21.75" hidden="false" customHeight="true" outlineLevel="0" collapsed="false">
      <c r="A76" s="33" t="s">
        <v>291</v>
      </c>
      <c r="B76" s="37" t="n">
        <f aca="false">B21/B24</f>
        <v>27.9264631043257</v>
      </c>
      <c r="C76" s="34" t="s">
        <v>228</v>
      </c>
      <c r="D76" s="35" t="s">
        <v>292</v>
      </c>
      <c r="E76" s="36" t="s">
        <v>293</v>
      </c>
    </row>
    <row r="77" customFormat="false" ht="21.75" hidden="false" customHeight="true" outlineLevel="0" collapsed="false">
      <c r="A77" s="33" t="s">
        <v>294</v>
      </c>
      <c r="B77" s="37" t="n">
        <f aca="false">B19/B20*(1+(ABS(B24)-B25)/MAX(B20,1))</f>
        <v>0.514996022116826</v>
      </c>
      <c r="C77" s="34" t="s">
        <v>228</v>
      </c>
      <c r="D77" s="35" t="s">
        <v>295</v>
      </c>
      <c r="E77" s="36" t="s">
        <v>296</v>
      </c>
    </row>
    <row r="78" customFormat="false" ht="21.75" hidden="false" customHeight="true" outlineLevel="0" collapsed="false">
      <c r="A78" s="33" t="s">
        <v>297</v>
      </c>
      <c r="B78" s="37" t="n">
        <f aca="false">B31/B26</f>
        <v>5.71579981750544</v>
      </c>
      <c r="C78" s="34" t="s">
        <v>228</v>
      </c>
      <c r="D78" s="35" t="s">
        <v>298</v>
      </c>
      <c r="E78" s="36" t="s">
        <v>299</v>
      </c>
    </row>
    <row r="79" customFormat="false" ht="15" hidden="false" customHeight="true" outlineLevel="0" collapsed="false">
      <c r="A79" s="9"/>
      <c r="B79" s="9"/>
      <c r="C79" s="9"/>
      <c r="D79" s="9"/>
      <c r="E79" s="9"/>
    </row>
    <row r="80" customFormat="false" ht="15" hidden="false" customHeight="true" outlineLevel="0" collapsed="false">
      <c r="A80" s="24" t="s">
        <v>300</v>
      </c>
      <c r="B80" s="24"/>
      <c r="C80" s="24"/>
      <c r="D80" s="24"/>
      <c r="E80" s="24"/>
    </row>
    <row r="81" customFormat="false" ht="21.75" hidden="false" customHeight="true" outlineLevel="0" collapsed="false">
      <c r="A81" s="33" t="s">
        <v>301</v>
      </c>
      <c r="B81" s="10" t="n">
        <f aca="false">B34/B31</f>
        <v>-0.115475298711824</v>
      </c>
      <c r="C81" s="34" t="s">
        <v>135</v>
      </c>
      <c r="D81" s="35" t="s">
        <v>302</v>
      </c>
      <c r="E81" s="36" t="s">
        <v>303</v>
      </c>
    </row>
    <row r="82" customFormat="false" ht="32.25" hidden="false" customHeight="true" outlineLevel="0" collapsed="false">
      <c r="A82" s="33" t="s">
        <v>304</v>
      </c>
      <c r="B82" s="37" t="n">
        <f aca="false">B28/B29</f>
        <v>0.762201598219705</v>
      </c>
      <c r="C82" s="34" t="s">
        <v>228</v>
      </c>
      <c r="D82" s="35" t="s">
        <v>305</v>
      </c>
      <c r="E82" s="36" t="s">
        <v>306</v>
      </c>
    </row>
    <row r="83" customFormat="false" ht="21.75" hidden="false" customHeight="true" outlineLevel="0" collapsed="false">
      <c r="A83" s="33" t="s">
        <v>307</v>
      </c>
      <c r="B83" s="37" t="n">
        <f aca="false">(B28-B35)/B29</f>
        <v>0.716138984422416</v>
      </c>
      <c r="C83" s="34" t="s">
        <v>228</v>
      </c>
      <c r="D83" s="35" t="s">
        <v>308</v>
      </c>
      <c r="E83" s="36" t="s">
        <v>309</v>
      </c>
    </row>
    <row r="84" customFormat="false" ht="21.75" hidden="false" customHeight="true" outlineLevel="0" collapsed="false">
      <c r="A84" s="33" t="s">
        <v>310</v>
      </c>
      <c r="B84" s="37" t="n">
        <f aca="false">B27/B29</f>
        <v>0.189301790410682</v>
      </c>
      <c r="C84" s="34" t="s">
        <v>228</v>
      </c>
      <c r="D84" s="35" t="s">
        <v>311</v>
      </c>
      <c r="E84" s="36" t="s">
        <v>312</v>
      </c>
    </row>
    <row r="85" customFormat="false" ht="15" hidden="false" customHeight="true" outlineLevel="0" collapsed="false">
      <c r="A85" s="9"/>
      <c r="B85" s="9"/>
      <c r="C85" s="9"/>
      <c r="D85" s="9"/>
      <c r="E85" s="9"/>
    </row>
    <row r="86" customFormat="false" ht="15" hidden="false" customHeight="true" outlineLevel="0" collapsed="false">
      <c r="A86" s="24" t="s">
        <v>313</v>
      </c>
      <c r="B86" s="24"/>
      <c r="C86" s="24"/>
      <c r="D86" s="24"/>
      <c r="E86" s="24"/>
    </row>
    <row r="87" customFormat="false" ht="21.75" hidden="false" customHeight="true" outlineLevel="0" collapsed="false">
      <c r="A87" s="33" t="s">
        <v>314</v>
      </c>
      <c r="B87" s="10" t="n">
        <f aca="false">B19/B22</f>
        <v>0.175585305663176</v>
      </c>
      <c r="C87" s="34" t="s">
        <v>135</v>
      </c>
      <c r="D87" s="35" t="s">
        <v>271</v>
      </c>
      <c r="E87" s="36" t="s">
        <v>315</v>
      </c>
    </row>
    <row r="88" customFormat="false" ht="21.75" hidden="false" customHeight="true" outlineLevel="0" collapsed="false">
      <c r="A88" s="33" t="s">
        <v>316</v>
      </c>
      <c r="B88" s="37" t="n">
        <f aca="false">B22/B15</f>
        <v>1.2177754386402</v>
      </c>
      <c r="C88" s="34" t="s">
        <v>228</v>
      </c>
      <c r="D88" s="35" t="s">
        <v>255</v>
      </c>
      <c r="E88" s="36" t="s">
        <v>317</v>
      </c>
    </row>
    <row r="89" customFormat="false" ht="21.75" hidden="false" customHeight="true" outlineLevel="0" collapsed="false">
      <c r="A89" s="33" t="s">
        <v>318</v>
      </c>
      <c r="B89" s="10" t="n">
        <f aca="false">B87*B88</f>
        <v>0.213823472622748</v>
      </c>
      <c r="C89" s="34" t="s">
        <v>135</v>
      </c>
      <c r="D89" s="35" t="s">
        <v>319</v>
      </c>
      <c r="E89" s="36" t="s">
        <v>320</v>
      </c>
    </row>
    <row r="90" customFormat="false" ht="21.75" hidden="false" customHeight="true" outlineLevel="0" collapsed="false">
      <c r="A90" s="33" t="s">
        <v>321</v>
      </c>
      <c r="B90" s="37" t="n">
        <f aca="false">B31/B26</f>
        <v>5.71579981750544</v>
      </c>
      <c r="C90" s="34" t="s">
        <v>228</v>
      </c>
      <c r="D90" s="35" t="s">
        <v>298</v>
      </c>
      <c r="E90" s="36" t="s">
        <v>322</v>
      </c>
    </row>
    <row r="91" customFormat="false" ht="21.75" hidden="false" customHeight="true" outlineLevel="0" collapsed="false">
      <c r="A91" s="33" t="s">
        <v>323</v>
      </c>
      <c r="B91" s="10" t="n">
        <f aca="false">B89*B90</f>
        <v>1.22217216579548</v>
      </c>
      <c r="C91" s="34" t="s">
        <v>135</v>
      </c>
      <c r="D91" s="35" t="s">
        <v>324</v>
      </c>
      <c r="E91" s="36" t="s">
        <v>325</v>
      </c>
    </row>
    <row r="92" customFormat="false" ht="15" hidden="false" customHeight="true" outlineLevel="0" collapsed="false">
      <c r="A92" s="9"/>
      <c r="B92" s="9"/>
      <c r="C92" s="9"/>
      <c r="D92" s="9"/>
      <c r="E92" s="9"/>
    </row>
    <row r="93" customFormat="false" ht="15" hidden="false" customHeight="true" outlineLevel="0" collapsed="false">
      <c r="A93" s="24" t="s">
        <v>326</v>
      </c>
      <c r="B93" s="24"/>
      <c r="C93" s="24"/>
      <c r="D93" s="24"/>
      <c r="E93" s="24"/>
    </row>
    <row r="94" customFormat="false" ht="15" hidden="false" customHeight="true" outlineLevel="0" collapsed="false">
      <c r="A94" s="33" t="s">
        <v>327</v>
      </c>
      <c r="D94" s="35" t="s">
        <v>328</v>
      </c>
    </row>
    <row r="95" customFormat="false" ht="15" hidden="false" customHeight="true" outlineLevel="0" collapsed="false">
      <c r="A95" s="33" t="s">
        <v>329</v>
      </c>
      <c r="D95" s="35" t="s">
        <v>330</v>
      </c>
    </row>
    <row r="96" customFormat="false" ht="15" hidden="false" customHeight="true" outlineLevel="0" collapsed="false">
      <c r="A96" s="33" t="s">
        <v>331</v>
      </c>
    </row>
    <row r="99" customFormat="false" ht="15" hidden="false" customHeight="true" outlineLevel="0" collapsed="false">
      <c r="A99" s="24" t="s">
        <v>332</v>
      </c>
      <c r="B99" s="24"/>
      <c r="C99" s="24"/>
      <c r="D99" s="24"/>
      <c r="E99" s="24"/>
    </row>
    <row r="100" customFormat="false" ht="15" hidden="false" customHeight="true" outlineLevel="0" collapsed="false">
      <c r="A100" s="3" t="s">
        <v>333</v>
      </c>
      <c r="B100" s="3" t="s">
        <v>220</v>
      </c>
      <c r="C100" s="3" t="s">
        <v>334</v>
      </c>
      <c r="D100" s="3" t="s">
        <v>335</v>
      </c>
      <c r="E100" s="3" t="s">
        <v>336</v>
      </c>
    </row>
    <row r="101" customFormat="false" ht="15" hidden="false" customHeight="true" outlineLevel="0" collapsed="false">
      <c r="A101" s="26" t="s">
        <v>337</v>
      </c>
      <c r="B101" s="33" t="s">
        <v>224</v>
      </c>
      <c r="C101" s="39" t="s">
        <v>224</v>
      </c>
      <c r="D101" s="35" t="s">
        <v>225</v>
      </c>
      <c r="E101" s="40" t="s">
        <v>338</v>
      </c>
    </row>
    <row r="102" customFormat="false" ht="15" hidden="false" customHeight="true" outlineLevel="0" collapsed="false">
      <c r="A102" s="26" t="s">
        <v>337</v>
      </c>
      <c r="B102" s="33" t="s">
        <v>339</v>
      </c>
      <c r="C102" s="39" t="s">
        <v>339</v>
      </c>
      <c r="D102" s="35" t="s">
        <v>229</v>
      </c>
      <c r="E102" s="40" t="s">
        <v>340</v>
      </c>
    </row>
    <row r="103" customFormat="false" ht="15" hidden="false" customHeight="true" outlineLevel="0" collapsed="false">
      <c r="A103" s="26" t="s">
        <v>337</v>
      </c>
      <c r="B103" s="33" t="s">
        <v>341</v>
      </c>
      <c r="C103" s="39" t="s">
        <v>341</v>
      </c>
      <c r="D103" s="35" t="s">
        <v>342</v>
      </c>
      <c r="E103" s="40" t="s">
        <v>343</v>
      </c>
    </row>
    <row r="104" customFormat="false" ht="15" hidden="false" customHeight="true" outlineLevel="0" collapsed="false">
      <c r="A104" s="26" t="s">
        <v>344</v>
      </c>
      <c r="B104" s="33" t="s">
        <v>235</v>
      </c>
      <c r="C104" s="39" t="s">
        <v>235</v>
      </c>
      <c r="D104" s="35" t="s">
        <v>236</v>
      </c>
      <c r="E104" s="40" t="s">
        <v>345</v>
      </c>
    </row>
    <row r="105" customFormat="false" ht="15" hidden="false" customHeight="true" outlineLevel="0" collapsed="false">
      <c r="A105" s="26" t="s">
        <v>344</v>
      </c>
      <c r="B105" s="33" t="s">
        <v>241</v>
      </c>
      <c r="C105" s="39" t="s">
        <v>241</v>
      </c>
      <c r="D105" s="35" t="s">
        <v>242</v>
      </c>
      <c r="E105" s="40" t="s">
        <v>346</v>
      </c>
    </row>
    <row r="106" customFormat="false" ht="15" hidden="false" customHeight="true" outlineLevel="0" collapsed="false">
      <c r="A106" s="26" t="s">
        <v>344</v>
      </c>
      <c r="B106" s="33" t="s">
        <v>347</v>
      </c>
      <c r="C106" s="39" t="s">
        <v>347</v>
      </c>
      <c r="D106" s="35" t="s">
        <v>271</v>
      </c>
      <c r="E106" s="40" t="s">
        <v>348</v>
      </c>
    </row>
    <row r="107" customFormat="false" ht="15" hidden="false" customHeight="true" outlineLevel="0" collapsed="false">
      <c r="A107" s="26" t="s">
        <v>349</v>
      </c>
      <c r="B107" s="33" t="s">
        <v>254</v>
      </c>
      <c r="C107" s="39" t="s">
        <v>254</v>
      </c>
      <c r="D107" s="35" t="s">
        <v>350</v>
      </c>
      <c r="E107" s="40" t="s">
        <v>351</v>
      </c>
    </row>
    <row r="108" customFormat="false" ht="15" hidden="false" customHeight="true" outlineLevel="0" collapsed="false">
      <c r="A108" s="26" t="s">
        <v>349</v>
      </c>
      <c r="B108" s="33" t="s">
        <v>352</v>
      </c>
      <c r="C108" s="39" t="s">
        <v>352</v>
      </c>
      <c r="D108" s="35" t="s">
        <v>353</v>
      </c>
      <c r="E108" s="40" t="s">
        <v>354</v>
      </c>
    </row>
    <row r="109" customFormat="false" ht="15" hidden="false" customHeight="true" outlineLevel="0" collapsed="false">
      <c r="A109" s="26" t="s">
        <v>349</v>
      </c>
      <c r="B109" s="33" t="s">
        <v>267</v>
      </c>
      <c r="C109" s="39" t="s">
        <v>267</v>
      </c>
      <c r="D109" s="35" t="s">
        <v>355</v>
      </c>
      <c r="E109" s="40" t="s">
        <v>356</v>
      </c>
    </row>
    <row r="110" customFormat="false" ht="15" hidden="false" customHeight="true" outlineLevel="0" collapsed="false">
      <c r="A110" s="26" t="s">
        <v>357</v>
      </c>
      <c r="B110" s="33" t="s">
        <v>282</v>
      </c>
      <c r="C110" s="39" t="s">
        <v>282</v>
      </c>
      <c r="D110" s="35" t="s">
        <v>358</v>
      </c>
      <c r="E110" s="40" t="s">
        <v>359</v>
      </c>
    </row>
    <row r="111" customFormat="false" ht="15" hidden="false" customHeight="true" outlineLevel="0" collapsed="false">
      <c r="A111" s="26" t="s">
        <v>357</v>
      </c>
      <c r="B111" s="33" t="s">
        <v>360</v>
      </c>
      <c r="C111" s="39" t="s">
        <v>360</v>
      </c>
      <c r="D111" s="35" t="s">
        <v>361</v>
      </c>
      <c r="E111" s="40" t="s">
        <v>362</v>
      </c>
    </row>
    <row r="112" customFormat="false" ht="15" hidden="false" customHeight="true" outlineLevel="0" collapsed="false">
      <c r="A112" s="26" t="s">
        <v>357</v>
      </c>
      <c r="B112" s="33" t="s">
        <v>285</v>
      </c>
      <c r="C112" s="39" t="s">
        <v>285</v>
      </c>
      <c r="D112" s="35" t="s">
        <v>363</v>
      </c>
      <c r="E112" s="40" t="s">
        <v>364</v>
      </c>
    </row>
    <row r="113" customFormat="false" ht="15" hidden="false" customHeight="true" outlineLevel="0" collapsed="false">
      <c r="A113" s="26" t="s">
        <v>365</v>
      </c>
      <c r="B113" s="33" t="s">
        <v>304</v>
      </c>
      <c r="C113" s="39" t="s">
        <v>304</v>
      </c>
      <c r="D113" s="35" t="s">
        <v>366</v>
      </c>
      <c r="E113" s="40" t="s">
        <v>367</v>
      </c>
    </row>
    <row r="114" customFormat="false" ht="15" hidden="false" customHeight="true" outlineLevel="0" collapsed="false">
      <c r="A114" s="26" t="s">
        <v>365</v>
      </c>
      <c r="B114" s="33" t="s">
        <v>307</v>
      </c>
      <c r="C114" s="39" t="s">
        <v>307</v>
      </c>
      <c r="D114" s="35" t="s">
        <v>368</v>
      </c>
      <c r="E114" s="40" t="s">
        <v>369</v>
      </c>
    </row>
    <row r="115" customFormat="false" ht="15" hidden="false" customHeight="true" outlineLevel="0" collapsed="false">
      <c r="A115" s="26" t="s">
        <v>370</v>
      </c>
      <c r="B115" s="33" t="s">
        <v>371</v>
      </c>
      <c r="C115" s="39" t="s">
        <v>371</v>
      </c>
      <c r="D115" s="35" t="s">
        <v>372</v>
      </c>
      <c r="E115" s="40" t="s">
        <v>373</v>
      </c>
    </row>
    <row r="116" customFormat="false" ht="15" hidden="false" customHeight="true" outlineLevel="0" collapsed="false">
      <c r="A116" s="26" t="s">
        <v>370</v>
      </c>
      <c r="B116" s="33" t="s">
        <v>374</v>
      </c>
      <c r="C116" s="39" t="s">
        <v>374</v>
      </c>
      <c r="D116" s="35" t="s">
        <v>375</v>
      </c>
      <c r="E116" s="40" t="s">
        <v>376</v>
      </c>
    </row>
  </sheetData>
  <mergeCells count="15">
    <mergeCell ref="A1:E1"/>
    <mergeCell ref="A2:E2"/>
    <mergeCell ref="A4:E4"/>
    <mergeCell ref="A11:E11"/>
    <mergeCell ref="A18:E18"/>
    <mergeCell ref="A40:E40"/>
    <mergeCell ref="A46:E46"/>
    <mergeCell ref="A48:E48"/>
    <mergeCell ref="A53:E53"/>
    <mergeCell ref="A61:E61"/>
    <mergeCell ref="A71:E71"/>
    <mergeCell ref="A80:E80"/>
    <mergeCell ref="A86:E86"/>
    <mergeCell ref="A93:E93"/>
    <mergeCell ref="A99:E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57070"/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72"/>
  </cols>
  <sheetData>
    <row r="1" customFormat="false" ht="15" hidden="false" customHeight="true" outlineLevel="0" collapsed="false">
      <c r="A1" s="2" t="s">
        <v>377</v>
      </c>
      <c r="B1" s="2"/>
    </row>
    <row r="2" customFormat="false" ht="15" hidden="false" customHeight="true" outlineLevel="0" collapsed="false">
      <c r="A2" s="26" t="s">
        <v>378</v>
      </c>
      <c r="B2" s="41" t="s">
        <v>379</v>
      </c>
    </row>
    <row r="3" customFormat="false" ht="15" hidden="false" customHeight="true" outlineLevel="0" collapsed="false">
      <c r="A3" s="26" t="s">
        <v>380</v>
      </c>
      <c r="B3" s="41" t="s">
        <v>381</v>
      </c>
    </row>
    <row r="4" customFormat="false" ht="15" hidden="false" customHeight="true" outlineLevel="0" collapsed="false">
      <c r="A4" s="26" t="s">
        <v>382</v>
      </c>
      <c r="B4" s="41" t="s">
        <v>383</v>
      </c>
    </row>
    <row r="5" customFormat="false" ht="15" hidden="false" customHeight="true" outlineLevel="0" collapsed="false">
      <c r="A5" s="9"/>
      <c r="B5" s="41"/>
    </row>
    <row r="6" customFormat="false" ht="15" hidden="false" customHeight="true" outlineLevel="0" collapsed="false">
      <c r="A6" s="42" t="s">
        <v>384</v>
      </c>
      <c r="B6" s="41"/>
    </row>
    <row r="7" customFormat="false" ht="15" hidden="false" customHeight="true" outlineLevel="0" collapsed="false">
      <c r="A7" s="26" t="s">
        <v>385</v>
      </c>
      <c r="B7" s="41" t="s">
        <v>386</v>
      </c>
    </row>
    <row r="8" customFormat="false" ht="15" hidden="false" customHeight="true" outlineLevel="0" collapsed="false">
      <c r="A8" s="26" t="s">
        <v>387</v>
      </c>
      <c r="B8" s="41" t="s">
        <v>388</v>
      </c>
    </row>
    <row r="9" customFormat="false" ht="15" hidden="false" customHeight="true" outlineLevel="0" collapsed="false">
      <c r="A9" s="26" t="s">
        <v>389</v>
      </c>
      <c r="B9" s="41" t="s">
        <v>390</v>
      </c>
    </row>
    <row r="10" customFormat="false" ht="15" hidden="false" customHeight="true" outlineLevel="0" collapsed="false">
      <c r="A10" s="26" t="s">
        <v>391</v>
      </c>
      <c r="B10" s="41" t="s">
        <v>392</v>
      </c>
    </row>
    <row r="11" customFormat="false" ht="15" hidden="false" customHeight="true" outlineLevel="0" collapsed="false">
      <c r="A11" s="9"/>
      <c r="B11" s="41"/>
    </row>
    <row r="12" customFormat="false" ht="15" hidden="false" customHeight="true" outlineLevel="0" collapsed="false">
      <c r="A12" s="42" t="s">
        <v>393</v>
      </c>
      <c r="B12" s="41"/>
    </row>
    <row r="13" customFormat="false" ht="15" hidden="false" customHeight="true" outlineLevel="0" collapsed="false">
      <c r="A13" s="26" t="s">
        <v>394</v>
      </c>
      <c r="B13" s="41" t="s">
        <v>395</v>
      </c>
    </row>
    <row r="14" customFormat="false" ht="15" hidden="false" customHeight="true" outlineLevel="0" collapsed="false">
      <c r="A14" s="26" t="s">
        <v>396</v>
      </c>
      <c r="B14" s="41" t="s">
        <v>397</v>
      </c>
    </row>
    <row r="15" customFormat="false" ht="15" hidden="false" customHeight="true" outlineLevel="0" collapsed="false">
      <c r="A15" s="26" t="s">
        <v>398</v>
      </c>
      <c r="B15" s="41" t="s">
        <v>399</v>
      </c>
    </row>
    <row r="16" customFormat="false" ht="15" hidden="false" customHeight="true" outlineLevel="0" collapsed="false">
      <c r="A16" s="26" t="s">
        <v>400</v>
      </c>
      <c r="B16" s="41" t="s">
        <v>401</v>
      </c>
    </row>
    <row r="17" customFormat="false" ht="15" hidden="false" customHeight="true" outlineLevel="0" collapsed="false">
      <c r="A17" s="26" t="s">
        <v>402</v>
      </c>
      <c r="B17" s="41" t="s">
        <v>403</v>
      </c>
    </row>
    <row r="18" customFormat="false" ht="15" hidden="false" customHeight="true" outlineLevel="0" collapsed="false">
      <c r="A18" s="26" t="s">
        <v>404</v>
      </c>
      <c r="B18" s="41" t="s">
        <v>405</v>
      </c>
    </row>
    <row r="19" customFormat="false" ht="27.75" hidden="false" customHeight="true" outlineLevel="0" collapsed="false">
      <c r="A19" s="26" t="s">
        <v>406</v>
      </c>
      <c r="B19" s="41" t="s">
        <v>407</v>
      </c>
    </row>
    <row r="20" customFormat="false" ht="15" hidden="false" customHeight="true" outlineLevel="0" collapsed="false">
      <c r="A20" s="9"/>
      <c r="B20" s="41"/>
    </row>
    <row r="21" customFormat="false" ht="15" hidden="false" customHeight="true" outlineLevel="0" collapsed="false">
      <c r="A21" s="42" t="s">
        <v>408</v>
      </c>
      <c r="B21" s="41"/>
    </row>
    <row r="22" customFormat="false" ht="15" hidden="false" customHeight="true" outlineLevel="0" collapsed="false">
      <c r="A22" s="26" t="s">
        <v>210</v>
      </c>
      <c r="B22" s="41" t="s">
        <v>409</v>
      </c>
    </row>
    <row r="23" customFormat="false" ht="15" hidden="false" customHeight="true" outlineLevel="0" collapsed="false">
      <c r="A23" s="26" t="s">
        <v>341</v>
      </c>
      <c r="B23" s="41" t="s">
        <v>410</v>
      </c>
    </row>
    <row r="24" customFormat="false" ht="15" hidden="false" customHeight="true" outlineLevel="0" collapsed="false">
      <c r="A24" s="26" t="s">
        <v>411</v>
      </c>
      <c r="B24" s="41" t="s">
        <v>412</v>
      </c>
    </row>
    <row r="25" customFormat="false" ht="15" hidden="false" customHeight="true" outlineLevel="0" collapsed="false">
      <c r="A25" s="26" t="s">
        <v>371</v>
      </c>
      <c r="B25" s="41" t="s">
        <v>413</v>
      </c>
    </row>
    <row r="26" customFormat="false" ht="15" hidden="false" customHeight="true" outlineLevel="0" collapsed="false">
      <c r="A26" s="26" t="s">
        <v>374</v>
      </c>
      <c r="B26" s="41" t="s">
        <v>414</v>
      </c>
    </row>
    <row r="27" customFormat="false" ht="27.75" hidden="false" customHeight="true" outlineLevel="0" collapsed="false">
      <c r="A27" s="26" t="s">
        <v>415</v>
      </c>
      <c r="B27" s="41" t="s">
        <v>416</v>
      </c>
    </row>
    <row r="28" customFormat="false" ht="15" hidden="false" customHeight="true" outlineLevel="0" collapsed="false">
      <c r="A28" s="9"/>
      <c r="B28" s="41"/>
    </row>
    <row r="29" customFormat="false" ht="15" hidden="false" customHeight="true" outlineLevel="0" collapsed="false">
      <c r="A29" s="42" t="s">
        <v>417</v>
      </c>
      <c r="B29" s="41"/>
    </row>
    <row r="30" customFormat="false" ht="15" hidden="false" customHeight="true" outlineLevel="0" collapsed="false">
      <c r="A30" s="26" t="s">
        <v>418</v>
      </c>
      <c r="B30" s="41" t="s">
        <v>419</v>
      </c>
    </row>
    <row r="31" customFormat="false" ht="15" hidden="false" customHeight="true" outlineLevel="0" collapsed="false">
      <c r="A31" s="26" t="s">
        <v>420</v>
      </c>
      <c r="B31" s="41" t="s">
        <v>421</v>
      </c>
    </row>
    <row r="32" customFormat="false" ht="15" hidden="false" customHeight="true" outlineLevel="0" collapsed="false">
      <c r="A32" s="26" t="s">
        <v>422</v>
      </c>
      <c r="B32" s="41" t="s">
        <v>423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2026-04-18T07:32:16Z</dcterms:created>
  <dc:creator>openpyxl</dc:creator>
  <dc:description/>
  <dc:language>en-US</dc:language>
  <cp:lastModifiedBy/>
  <dcterms:modified xsi:type="dcterms:W3CDTF">2026-04-18T07:33:08Z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